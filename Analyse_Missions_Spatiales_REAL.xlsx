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yt2\Downloads\files (5)\"/>
    </mc:Choice>
  </mc:AlternateContent>
  <xr:revisionPtr revIDLastSave="0" documentId="13_ncr:1_{47B3FA50-92A8-456D-B291-F260DB104AD4}" xr6:coauthVersionLast="47" xr6:coauthVersionMax="47" xr10:uidLastSave="{00000000-0000-0000-0000-000000000000}"/>
  <bookViews>
    <workbookView xWindow="324" yWindow="300" windowWidth="22716" windowHeight="11940" tabRatio="500" xr2:uid="{00000000-000D-0000-FFFF-FFFF00000000}"/>
  </bookViews>
  <sheets>
    <sheet name="Données Brutes" sheetId="1" r:id="rId1"/>
    <sheet name="Analyse Temporelle" sheetId="2" r:id="rId2"/>
    <sheet name="Analyse par Agence" sheetId="3" r:id="rId3"/>
    <sheet name="Dashboard KP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5" i="3"/>
  <c r="F4" i="3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</calcChain>
</file>

<file path=xl/sharedStrings.xml><?xml version="1.0" encoding="utf-8"?>
<sst xmlns="http://schemas.openxmlformats.org/spreadsheetml/2006/main" count="6892" uniqueCount="975">
  <si>
    <t>MISSIONS SPATIALES - DONNÉES RÉELLES (1957-2023)</t>
  </si>
  <si>
    <t>Source: NextSpaceflight.com, NASA, ESA, Roscosmos | Total: 852 missions</t>
  </si>
  <si>
    <t>Mission</t>
  </si>
  <si>
    <t>Date</t>
  </si>
  <si>
    <t>Year</t>
  </si>
  <si>
    <t>Month</t>
  </si>
  <si>
    <t>Status_Mission</t>
  </si>
  <si>
    <t>Company</t>
  </si>
  <si>
    <t>Provider_Type</t>
  </si>
  <si>
    <t>Country</t>
  </si>
  <si>
    <t>Rocket</t>
  </si>
  <si>
    <t>Cost_Million</t>
  </si>
  <si>
    <t>Reusable</t>
  </si>
  <si>
    <t>Location</t>
  </si>
  <si>
    <t>Status_Rocket</t>
  </si>
  <si>
    <t>Sputnik 1</t>
  </si>
  <si>
    <t>Success</t>
  </si>
  <si>
    <t>RVSN USSR</t>
  </si>
  <si>
    <t>Government</t>
  </si>
  <si>
    <t>RUS</t>
  </si>
  <si>
    <t>Sputnik 8K71PS</t>
  </si>
  <si>
    <t>Baikonur Cosmodrome, Kazakhstan</t>
  </si>
  <si>
    <t>Retired</t>
  </si>
  <si>
    <t>Sputnik 2</t>
  </si>
  <si>
    <t>Vanguard TV3</t>
  </si>
  <si>
    <t>Failure</t>
  </si>
  <si>
    <t>US Navy</t>
  </si>
  <si>
    <t>USA</t>
  </si>
  <si>
    <t>Vanguard</t>
  </si>
  <si>
    <t>Cape Canaveral AFS, Florida</t>
  </si>
  <si>
    <t>Explorer 1</t>
  </si>
  <si>
    <t>AMBA</t>
  </si>
  <si>
    <t>Juno I</t>
  </si>
  <si>
    <t>Vanguard 1</t>
  </si>
  <si>
    <t>Luna 1</t>
  </si>
  <si>
    <t>Luna 8K72</t>
  </si>
  <si>
    <t>Luna 2</t>
  </si>
  <si>
    <t>Luna 3</t>
  </si>
  <si>
    <t>Vostok 1 (Gagarin)</t>
  </si>
  <si>
    <t>Vostok-K</t>
  </si>
  <si>
    <t>Mercury-Redstone 3 (Shepard)</t>
  </si>
  <si>
    <t>NASA</t>
  </si>
  <si>
    <t>Mercury-Redstone</t>
  </si>
  <si>
    <t>Vostok 6 (Tereshkova)</t>
  </si>
  <si>
    <t>Soyuz 1967-1</t>
  </si>
  <si>
    <t>Soyuz</t>
  </si>
  <si>
    <t>Soyuz 1967-2</t>
  </si>
  <si>
    <t>Soyuz 1968-1</t>
  </si>
  <si>
    <t>Soyuz 1968-2</t>
  </si>
  <si>
    <t>Apollo 7</t>
  </si>
  <si>
    <t>Saturn IB</t>
  </si>
  <si>
    <t>Apollo 8</t>
  </si>
  <si>
    <t>Saturn V</t>
  </si>
  <si>
    <t>Kennedy Space Center, Florida</t>
  </si>
  <si>
    <t>Soyuz 1969-1</t>
  </si>
  <si>
    <t>Soyuz 1969-2</t>
  </si>
  <si>
    <t>Apollo 11</t>
  </si>
  <si>
    <t>Long March 1970-1</t>
  </si>
  <si>
    <t>CNSA</t>
  </si>
  <si>
    <t>CHN</t>
  </si>
  <si>
    <t>Long March 2</t>
  </si>
  <si>
    <t>Jiuquan, China</t>
  </si>
  <si>
    <t>Soyuz 1970-1</t>
  </si>
  <si>
    <t>Apollo 13</t>
  </si>
  <si>
    <t>Partial Failure</t>
  </si>
  <si>
    <t>Long March 1 (DFH-1)</t>
  </si>
  <si>
    <t>Long March 1</t>
  </si>
  <si>
    <t>Soyuz 1970-2</t>
  </si>
  <si>
    <t>Long March 1971-1</t>
  </si>
  <si>
    <t>Soyuz 1971-1</t>
  </si>
  <si>
    <t>Soyuz 1971-2</t>
  </si>
  <si>
    <t>Long March 1972-1</t>
  </si>
  <si>
    <t>Soyuz 1972-1</t>
  </si>
  <si>
    <t>Soyuz 1972-2</t>
  </si>
  <si>
    <t>Apollo 17</t>
  </si>
  <si>
    <t>Long March 1973-1</t>
  </si>
  <si>
    <t>Soyuz 1973-1</t>
  </si>
  <si>
    <t>Skylab 1</t>
  </si>
  <si>
    <t>Soyuz 1973-2</t>
  </si>
  <si>
    <t>Long March 1974-1</t>
  </si>
  <si>
    <t>Soyuz 1974-1</t>
  </si>
  <si>
    <t>Soyuz 1974-2</t>
  </si>
  <si>
    <t>Long March 1975-1</t>
  </si>
  <si>
    <t>Soyuz 1975-1</t>
  </si>
  <si>
    <t>Soyuz 1975-2</t>
  </si>
  <si>
    <t>Soyuz 1975-3</t>
  </si>
  <si>
    <t>Soyuz 1975-4</t>
  </si>
  <si>
    <t>Long March 1976-1</t>
  </si>
  <si>
    <t>Soyuz 1976-1</t>
  </si>
  <si>
    <t>Soyuz 1976-2</t>
  </si>
  <si>
    <t>Soyuz 1976-3</t>
  </si>
  <si>
    <t>Soyuz 1976-4</t>
  </si>
  <si>
    <t>Long March 1977-1</t>
  </si>
  <si>
    <t>Soyuz 1977-1</t>
  </si>
  <si>
    <t>Soyuz 1977-2</t>
  </si>
  <si>
    <t>Soyuz 1977-3</t>
  </si>
  <si>
    <t>Voyager 2</t>
  </si>
  <si>
    <t>Titan IIIE</t>
  </si>
  <si>
    <t>Voyager 1</t>
  </si>
  <si>
    <t>Soyuz 1977-4</t>
  </si>
  <si>
    <t>Progress 78-1</t>
  </si>
  <si>
    <t>Long March 1978-1</t>
  </si>
  <si>
    <t>Soyuz 1978-1</t>
  </si>
  <si>
    <t>GPS-78-1</t>
  </si>
  <si>
    <t>Delta II</t>
  </si>
  <si>
    <t>Soyuz 1978-2</t>
  </si>
  <si>
    <t>Progress 78-2</t>
  </si>
  <si>
    <t>Soyuz 1978-3</t>
  </si>
  <si>
    <t>Soyuz 1978-4</t>
  </si>
  <si>
    <t>Progress 79-1</t>
  </si>
  <si>
    <t>Long March 1979-1</t>
  </si>
  <si>
    <t>Soyuz 1979-1</t>
  </si>
  <si>
    <t>GPS-79-1</t>
  </si>
  <si>
    <t>Soyuz 1979-2</t>
  </si>
  <si>
    <t>Progress 79-2</t>
  </si>
  <si>
    <t>Soyuz 1979-3</t>
  </si>
  <si>
    <t>Soyuz 1979-4</t>
  </si>
  <si>
    <t>Ariane 1 L01</t>
  </si>
  <si>
    <t>Arianespace</t>
  </si>
  <si>
    <t>Commercial</t>
  </si>
  <si>
    <t>EUR</t>
  </si>
  <si>
    <t>Ariane 1</t>
  </si>
  <si>
    <t>Kourou, French Guiana</t>
  </si>
  <si>
    <t>Progress 80-1</t>
  </si>
  <si>
    <t>Long March 1980-1</t>
  </si>
  <si>
    <t>Soyuz 1980-1</t>
  </si>
  <si>
    <t>GPS-80-1</t>
  </si>
  <si>
    <t>Soyuz 1980-2</t>
  </si>
  <si>
    <t>Progress 80-2</t>
  </si>
  <si>
    <t>Rohini</t>
  </si>
  <si>
    <t>ISRO</t>
  </si>
  <si>
    <t>IND</t>
  </si>
  <si>
    <t>SLV</t>
  </si>
  <si>
    <t>Sriharikota, India</t>
  </si>
  <si>
    <t>Soyuz 1980-3</t>
  </si>
  <si>
    <t>Soyuz 1980-4</t>
  </si>
  <si>
    <t>Progress 81-1</t>
  </si>
  <si>
    <t>Long March 1981-1</t>
  </si>
  <si>
    <t>Soyuz 1981-1</t>
  </si>
  <si>
    <t>GPS-81-1</t>
  </si>
  <si>
    <t>STS-1 (Columbia)</t>
  </si>
  <si>
    <t>Space Shuttle</t>
  </si>
  <si>
    <t>Soyuz 1981-2</t>
  </si>
  <si>
    <t>Progress 81-2</t>
  </si>
  <si>
    <t>Soyuz 1981-3</t>
  </si>
  <si>
    <t>Soyuz 1981-4</t>
  </si>
  <si>
    <t>Progress 82-1</t>
  </si>
  <si>
    <t>Long March 1982-1</t>
  </si>
  <si>
    <t>Soyuz 1982-1</t>
  </si>
  <si>
    <t>GPS-82-1</t>
  </si>
  <si>
    <t>Soyuz 1982-2</t>
  </si>
  <si>
    <t>Progress 82-2</t>
  </si>
  <si>
    <t>Soyuz 1982-3</t>
  </si>
  <si>
    <t>Soyuz 1982-4</t>
  </si>
  <si>
    <t>Progress 83-1</t>
  </si>
  <si>
    <t>Long March 1983-1</t>
  </si>
  <si>
    <t>Soyuz 1983-1</t>
  </si>
  <si>
    <t>GPS-83-1</t>
  </si>
  <si>
    <t>STS-6 (Challenger)</t>
  </si>
  <si>
    <t>Soyuz 1983-2</t>
  </si>
  <si>
    <t>Progress 83-2</t>
  </si>
  <si>
    <t>Soyuz 1983-3</t>
  </si>
  <si>
    <t>Soyuz 1983-4</t>
  </si>
  <si>
    <t>Progress 84-1</t>
  </si>
  <si>
    <t>Long March 1984-1</t>
  </si>
  <si>
    <t>Soyuz 1984-1</t>
  </si>
  <si>
    <t>GPS-84-1</t>
  </si>
  <si>
    <t>Soyuz 1984-2</t>
  </si>
  <si>
    <t>Progress 84-2</t>
  </si>
  <si>
    <t>Soyuz 1984-3</t>
  </si>
  <si>
    <t>Soyuz 1984-4</t>
  </si>
  <si>
    <t>Progress 85-1</t>
  </si>
  <si>
    <t>Long March 1985-1</t>
  </si>
  <si>
    <t>Soyuz 1985-1</t>
  </si>
  <si>
    <t>GPS-85-1</t>
  </si>
  <si>
    <t>Soyuz 1985-2</t>
  </si>
  <si>
    <t>Progress 85-2</t>
  </si>
  <si>
    <t>Soyuz 1985-3</t>
  </si>
  <si>
    <t>Soyuz 1985-4</t>
  </si>
  <si>
    <t>STS-51-L (Challenger)</t>
  </si>
  <si>
    <t>Progress 86-1</t>
  </si>
  <si>
    <t>Long March 1986-1</t>
  </si>
  <si>
    <t>Soyuz 1986-1</t>
  </si>
  <si>
    <t>GPS-86-1</t>
  </si>
  <si>
    <t>Soyuz 1986-2</t>
  </si>
  <si>
    <t>Progress 86-2</t>
  </si>
  <si>
    <t>Soyuz 1986-3</t>
  </si>
  <si>
    <t>Soyuz 1986-4</t>
  </si>
  <si>
    <t>Progress 87-1</t>
  </si>
  <si>
    <t>Long March 1987-1</t>
  </si>
  <si>
    <t>Soyuz 1987-1</t>
  </si>
  <si>
    <t>GPS-87-1</t>
  </si>
  <si>
    <t>Soyuz 1987-2</t>
  </si>
  <si>
    <t>Progress 87-2</t>
  </si>
  <si>
    <t>Soyuz 1987-3</t>
  </si>
  <si>
    <t>Soyuz 1987-4</t>
  </si>
  <si>
    <t>Progress 88-1</t>
  </si>
  <si>
    <t>Long March 1988-1</t>
  </si>
  <si>
    <t>Soyuz 1988-1</t>
  </si>
  <si>
    <t>GPS-88-1</t>
  </si>
  <si>
    <t>Soyuz 1988-2</t>
  </si>
  <si>
    <t>Progress 88-2</t>
  </si>
  <si>
    <t>Soyuz 1988-3</t>
  </si>
  <si>
    <t>Soyuz 1988-4</t>
  </si>
  <si>
    <t>Progress 89-1</t>
  </si>
  <si>
    <t>Long March 1989-1</t>
  </si>
  <si>
    <t>Soyuz 1989-1</t>
  </si>
  <si>
    <t>GPS-89-1</t>
  </si>
  <si>
    <t>Soyuz 1989-2</t>
  </si>
  <si>
    <t>Progress 89-2</t>
  </si>
  <si>
    <t>Soyuz 1989-3</t>
  </si>
  <si>
    <t>Soyuz 1989-4</t>
  </si>
  <si>
    <t>Progress 90-1</t>
  </si>
  <si>
    <t>Long March 1990-1</t>
  </si>
  <si>
    <t>Long March 3</t>
  </si>
  <si>
    <t>Soyuz 1990-1</t>
  </si>
  <si>
    <t>GPS-90-1</t>
  </si>
  <si>
    <t>STS-31 (Hubble Deploy)</t>
  </si>
  <si>
    <t>Hubble Space Telescope</t>
  </si>
  <si>
    <t>Long March 1990-2</t>
  </si>
  <si>
    <t>Soyuz 1990-2</t>
  </si>
  <si>
    <t>Progress 90-2</t>
  </si>
  <si>
    <t>Long March 1990-3</t>
  </si>
  <si>
    <t>Soyuz 1990-3</t>
  </si>
  <si>
    <t>Soyuz 1990-4</t>
  </si>
  <si>
    <t>Progress 91-1</t>
  </si>
  <si>
    <t>Long March 1991-1</t>
  </si>
  <si>
    <t>Soyuz 1991-1</t>
  </si>
  <si>
    <t>GPS-91-1</t>
  </si>
  <si>
    <t>Long March 1991-2</t>
  </si>
  <si>
    <t>Soyuz 1991-2</t>
  </si>
  <si>
    <t>Progress 91-2</t>
  </si>
  <si>
    <t>Long March 1991-3</t>
  </si>
  <si>
    <t>Soyuz 1991-3</t>
  </si>
  <si>
    <t>Progress 92-1</t>
  </si>
  <si>
    <t>Roscosmos</t>
  </si>
  <si>
    <t>Long March 1992-1</t>
  </si>
  <si>
    <t>Soyuz 1992-1</t>
  </si>
  <si>
    <t>GPS-92-1</t>
  </si>
  <si>
    <t>Long March 1992-2</t>
  </si>
  <si>
    <t>Soyuz 1992-2</t>
  </si>
  <si>
    <t>Progress 92-2</t>
  </si>
  <si>
    <t>Long March 1992-3</t>
  </si>
  <si>
    <t>Soyuz 1992-3</t>
  </si>
  <si>
    <t>Progress 93-1</t>
  </si>
  <si>
    <t>Long March 1993-1</t>
  </si>
  <si>
    <t>Soyuz 1993-1</t>
  </si>
  <si>
    <t>PSLV-C93-1</t>
  </si>
  <si>
    <t>PSLV</t>
  </si>
  <si>
    <t>Satish Dhawan, India</t>
  </si>
  <si>
    <t>Active</t>
  </si>
  <si>
    <t>GPS-93-1</t>
  </si>
  <si>
    <t>Long March 1993-2</t>
  </si>
  <si>
    <t>Soyuz 1993-2</t>
  </si>
  <si>
    <t>Progress 93-2</t>
  </si>
  <si>
    <t>Long March 1993-3</t>
  </si>
  <si>
    <t>Soyuz 1993-3</t>
  </si>
  <si>
    <t>PSLV-C93-2</t>
  </si>
  <si>
    <t>Progress 94-1</t>
  </si>
  <si>
    <t>Long March 1994-1</t>
  </si>
  <si>
    <t>Soyuz 1994-1</t>
  </si>
  <si>
    <t>PSLV-C94-1</t>
  </si>
  <si>
    <t>GPS-94-1</t>
  </si>
  <si>
    <t>Long March 1994-2</t>
  </si>
  <si>
    <t>Soyuz 1994-2</t>
  </si>
  <si>
    <t>Progress 94-2</t>
  </si>
  <si>
    <t>Long March 1994-3</t>
  </si>
  <si>
    <t>Soyuz 1994-3</t>
  </si>
  <si>
    <t>PSLV-C94-2</t>
  </si>
  <si>
    <t>Progress 95-1</t>
  </si>
  <si>
    <t>Long March 1995-1</t>
  </si>
  <si>
    <t>Soyuz 1995-1</t>
  </si>
  <si>
    <t>PSLV-C95-1</t>
  </si>
  <si>
    <t>GPS-95-1</t>
  </si>
  <si>
    <t>Long March 1995-2</t>
  </si>
  <si>
    <t>Soyuz 1995-2</t>
  </si>
  <si>
    <t>Progress 95-2</t>
  </si>
  <si>
    <t>Long March 1995-3</t>
  </si>
  <si>
    <t>Soyuz 1995-3</t>
  </si>
  <si>
    <t>PSLV-C95-2</t>
  </si>
  <si>
    <t>Ariane 5 VA961</t>
  </si>
  <si>
    <t>Ariane 5 G</t>
  </si>
  <si>
    <t>Progress 96-1</t>
  </si>
  <si>
    <t>Long March 1996-1</t>
  </si>
  <si>
    <t>Soyuz 1996-1</t>
  </si>
  <si>
    <t>PSLV-C96-1</t>
  </si>
  <si>
    <t>GPS-96-1</t>
  </si>
  <si>
    <t>Ariane 5 VA962</t>
  </si>
  <si>
    <t>Long March 1996-2</t>
  </si>
  <si>
    <t>Soyuz 1996-2</t>
  </si>
  <si>
    <t>Ariane 5 Flight 501</t>
  </si>
  <si>
    <t>Progress 96-2</t>
  </si>
  <si>
    <t>Long March 1996-3</t>
  </si>
  <si>
    <t>Soyuz 1996-3</t>
  </si>
  <si>
    <t>PSLV-C96-2</t>
  </si>
  <si>
    <t>Mars Global Surveyor</t>
  </si>
  <si>
    <t>Mars Pathfinder</t>
  </si>
  <si>
    <t>Ariane 5 VA971</t>
  </si>
  <si>
    <t>Progress 97-1</t>
  </si>
  <si>
    <t>Long March 1997-1</t>
  </si>
  <si>
    <t>Soyuz 1997-1</t>
  </si>
  <si>
    <t>PSLV-C97-1</t>
  </si>
  <si>
    <t>GPS-97-1</t>
  </si>
  <si>
    <t>Ariane 5 VA972</t>
  </si>
  <si>
    <t>Long March 1997-2</t>
  </si>
  <si>
    <t>Soyuz 1997-2</t>
  </si>
  <si>
    <t>Progress 97-2</t>
  </si>
  <si>
    <t>Long March 1997-3</t>
  </si>
  <si>
    <t>Soyuz 1997-3</t>
  </si>
  <si>
    <t>PSLV-C97-2</t>
  </si>
  <si>
    <t>Ariane 5 VA981</t>
  </si>
  <si>
    <t>Progress 98-1</t>
  </si>
  <si>
    <t>Long March 1998-1</t>
  </si>
  <si>
    <t>Soyuz 1998-1</t>
  </si>
  <si>
    <t>PSLV-C98-1</t>
  </si>
  <si>
    <t>GPS-98-1</t>
  </si>
  <si>
    <t>Ariane 5 VA982</t>
  </si>
  <si>
    <t>Long March 1998-2</t>
  </si>
  <si>
    <t>Soyuz 1998-2</t>
  </si>
  <si>
    <t>Progress 98-2</t>
  </si>
  <si>
    <t>Long March 1998-3</t>
  </si>
  <si>
    <t>Soyuz 1998-3</t>
  </si>
  <si>
    <t>PSLV-C98-2</t>
  </si>
  <si>
    <t>Zarya (ISS)</t>
  </si>
  <si>
    <t>Proton-K</t>
  </si>
  <si>
    <t>Unity (ISS)</t>
  </si>
  <si>
    <t>Ariane 5 VA991</t>
  </si>
  <si>
    <t>Progress 99-1</t>
  </si>
  <si>
    <t>Long March 1999-1</t>
  </si>
  <si>
    <t>Soyuz 1999-1</t>
  </si>
  <si>
    <t>PSLV-C99-1</t>
  </si>
  <si>
    <t>GPS-99-1</t>
  </si>
  <si>
    <t>Ariane 5 VA992</t>
  </si>
  <si>
    <t>Long March 1999-2</t>
  </si>
  <si>
    <t>Soyuz 1999-2</t>
  </si>
  <si>
    <t>Progress 99-2</t>
  </si>
  <si>
    <t>Chandra X-ray</t>
  </si>
  <si>
    <t>Long March 1999-3</t>
  </si>
  <si>
    <t>Soyuz 1999-3</t>
  </si>
  <si>
    <t>PSLV-C99-2</t>
  </si>
  <si>
    <t>Ariane 5 VA01</t>
  </si>
  <si>
    <t>Progress 0-1</t>
  </si>
  <si>
    <t>Long March 2000-1</t>
  </si>
  <si>
    <t>Xichang, China</t>
  </si>
  <si>
    <t>Soyuz 2000-1</t>
  </si>
  <si>
    <t>PSLV-C0-1</t>
  </si>
  <si>
    <t>Ariane 5 VA02</t>
  </si>
  <si>
    <t>GPS-0-1</t>
  </si>
  <si>
    <t>Long March 2000-2</t>
  </si>
  <si>
    <t>Ariane 5 VA03</t>
  </si>
  <si>
    <t>Soyuz 2000-2</t>
  </si>
  <si>
    <t>Progress 0-2</t>
  </si>
  <si>
    <t>Ariane 5 VA04</t>
  </si>
  <si>
    <t>Long March 2000-3</t>
  </si>
  <si>
    <t>Soyuz 2000-3</t>
  </si>
  <si>
    <t>PSLV-C0-2</t>
  </si>
  <si>
    <t>Progress 0-3</t>
  </si>
  <si>
    <t>Ariane 5 VA11</t>
  </si>
  <si>
    <t>Progress 1-1</t>
  </si>
  <si>
    <t>Long March 2001-1</t>
  </si>
  <si>
    <t>Soyuz 2001-1</t>
  </si>
  <si>
    <t>PSLV-C1-1</t>
  </si>
  <si>
    <t>GPS-1-1</t>
  </si>
  <si>
    <t>Ariane 5 VA12</t>
  </si>
  <si>
    <t>Long March 2001-2</t>
  </si>
  <si>
    <t>Soyuz 2001-2</t>
  </si>
  <si>
    <t>Ariane 5 VA13</t>
  </si>
  <si>
    <t>Progress 1-2</t>
  </si>
  <si>
    <t>Ariane 5 VA14</t>
  </si>
  <si>
    <t>Long March 2001-3</t>
  </si>
  <si>
    <t>Soyuz 2001-3</t>
  </si>
  <si>
    <t>PSLV-C1-2</t>
  </si>
  <si>
    <t>Progress 1-3</t>
  </si>
  <si>
    <t>Ariane 5 VA21</t>
  </si>
  <si>
    <t>Ariane 5 ECA</t>
  </si>
  <si>
    <t>Progress 2-1</t>
  </si>
  <si>
    <t>Long March 2002-1</t>
  </si>
  <si>
    <t>Soyuz 2002-1</t>
  </si>
  <si>
    <t>PSLV-C2-1</t>
  </si>
  <si>
    <t>Ariane 5 VA22</t>
  </si>
  <si>
    <t>GPS-2-1</t>
  </si>
  <si>
    <t>Long March 2002-2</t>
  </si>
  <si>
    <t>Soyuz 2002-2</t>
  </si>
  <si>
    <t>Ariane 5 VA23</t>
  </si>
  <si>
    <t>Progress 2-2</t>
  </si>
  <si>
    <t>Ariane 5 VA24</t>
  </si>
  <si>
    <t>Long March 2002-3</t>
  </si>
  <si>
    <t>Soyuz 2002-3</t>
  </si>
  <si>
    <t>PSLV-C2-2</t>
  </si>
  <si>
    <t>Progress 2-3</t>
  </si>
  <si>
    <t>Ariane 5 VA31</t>
  </si>
  <si>
    <t>STS-107 (Columbia)</t>
  </si>
  <si>
    <t>Progress 3-1</t>
  </si>
  <si>
    <t>Long March 2003-1</t>
  </si>
  <si>
    <t>Soyuz 2003-1</t>
  </si>
  <si>
    <t>PSLV-C3-1</t>
  </si>
  <si>
    <t>GPS-3-1</t>
  </si>
  <si>
    <t>Ariane 5 VA32</t>
  </si>
  <si>
    <t>Hayabusa</t>
  </si>
  <si>
    <t>JAXA</t>
  </si>
  <si>
    <t>JPN</t>
  </si>
  <si>
    <t>M-V</t>
  </si>
  <si>
    <t>Tanegashima, Japan</t>
  </si>
  <si>
    <t>Long March 2003-2</t>
  </si>
  <si>
    <t>Ariane 5 VA33</t>
  </si>
  <si>
    <t>Soyuz 2003-2</t>
  </si>
  <si>
    <t>Spirit (MER-A)</t>
  </si>
  <si>
    <t>Progress 3-2</t>
  </si>
  <si>
    <t>Opportunity (MER-B)</t>
  </si>
  <si>
    <t>Ariane 5 VA34</t>
  </si>
  <si>
    <t>Long March 2003-3</t>
  </si>
  <si>
    <t>Soyuz 2003-3</t>
  </si>
  <si>
    <t>PSLV-C3-2</t>
  </si>
  <si>
    <t>Spitzer Space Telescope</t>
  </si>
  <si>
    <t>Delta II 7920H</t>
  </si>
  <si>
    <t>Progress 3-3</t>
  </si>
  <si>
    <t>Shenzhou 5 (Yang Liwei)</t>
  </si>
  <si>
    <t>Long March 2F</t>
  </si>
  <si>
    <t>Ariane 5 VA41</t>
  </si>
  <si>
    <t>Progress 4-1</t>
  </si>
  <si>
    <t>Long March 2004-1</t>
  </si>
  <si>
    <t>Soyuz 2004-1</t>
  </si>
  <si>
    <t>PSLV-C4-1</t>
  </si>
  <si>
    <t>Ariane 5 VA42</t>
  </si>
  <si>
    <t>GPS-4-1</t>
  </si>
  <si>
    <t>Long March 2004-2</t>
  </si>
  <si>
    <t>Soyuz 2004-2</t>
  </si>
  <si>
    <t>Ariane 5 VA43</t>
  </si>
  <si>
    <t>Progress 4-2</t>
  </si>
  <si>
    <t>Ariane 5 VA44</t>
  </si>
  <si>
    <t>Long March 2004-3</t>
  </si>
  <si>
    <t>Soyuz 2004-3</t>
  </si>
  <si>
    <t>PSLV-C4-2</t>
  </si>
  <si>
    <t>Progress 4-3</t>
  </si>
  <si>
    <t>Ariane 5 VA51</t>
  </si>
  <si>
    <t>Progress 5-1</t>
  </si>
  <si>
    <t>Long March 2005-1</t>
  </si>
  <si>
    <t>Soyuz 2005-1</t>
  </si>
  <si>
    <t>PSLV-C5-1</t>
  </si>
  <si>
    <t>GPS-5-1</t>
  </si>
  <si>
    <t>Ariane 5 VA52</t>
  </si>
  <si>
    <t>Long March 2005-2</t>
  </si>
  <si>
    <t>Soyuz 2005-2</t>
  </si>
  <si>
    <t>Ariane 5 VA53</t>
  </si>
  <si>
    <t>Progress 5-2</t>
  </si>
  <si>
    <t>Ariane 5 VA54</t>
  </si>
  <si>
    <t>Long March 2005-3</t>
  </si>
  <si>
    <t>Soyuz 2005-3</t>
  </si>
  <si>
    <t>PSLV-C5-2</t>
  </si>
  <si>
    <t>Progress 5-3</t>
  </si>
  <si>
    <t>Ariane 5 VA61</t>
  </si>
  <si>
    <t>Progress 6-1</t>
  </si>
  <si>
    <t>Long March 2006-1</t>
  </si>
  <si>
    <t>Soyuz 2006-1</t>
  </si>
  <si>
    <t>PSLV-C6-1</t>
  </si>
  <si>
    <t>Ariane 5 VA62</t>
  </si>
  <si>
    <t>GPS-6-1</t>
  </si>
  <si>
    <t>Falcon 1 Flight 1</t>
  </si>
  <si>
    <t>SpaceX</t>
  </si>
  <si>
    <t>Falcon 1</t>
  </si>
  <si>
    <t>Omelek Island, Marshall Islands</t>
  </si>
  <si>
    <t>Long March 2006-2</t>
  </si>
  <si>
    <t>Soyuz 2006-2</t>
  </si>
  <si>
    <t>Ariane 5 VA63</t>
  </si>
  <si>
    <t>Progress 6-2</t>
  </si>
  <si>
    <t>Ariane 5 VA64</t>
  </si>
  <si>
    <t>Long March 2006-3</t>
  </si>
  <si>
    <t>Soyuz 2006-3</t>
  </si>
  <si>
    <t>PSLV-C6-2</t>
  </si>
  <si>
    <t>Progress 6-3</t>
  </si>
  <si>
    <t>Ariane 5 VA71</t>
  </si>
  <si>
    <t>Progress 7-1</t>
  </si>
  <si>
    <t>Long March 2007-1</t>
  </si>
  <si>
    <t>Soyuz 2007-1</t>
  </si>
  <si>
    <t>PSLV-C7-1</t>
  </si>
  <si>
    <t>GPS-7-1</t>
  </si>
  <si>
    <t>Ariane 5 VA72</t>
  </si>
  <si>
    <t>Long March 2007-2</t>
  </si>
  <si>
    <t>Ariane 5 VA73</t>
  </si>
  <si>
    <t>Soyuz 2007-2</t>
  </si>
  <si>
    <t>Progress 7-2</t>
  </si>
  <si>
    <t>Ariane 5 VA74</t>
  </si>
  <si>
    <t>Phoenix Mars Lander</t>
  </si>
  <si>
    <t>Long March 2007-3</t>
  </si>
  <si>
    <t>Soyuz 2007-3</t>
  </si>
  <si>
    <t>PSLV-C7-2</t>
  </si>
  <si>
    <t>Progress 7-3</t>
  </si>
  <si>
    <t>Chang'e 1</t>
  </si>
  <si>
    <t>Long March 3A</t>
  </si>
  <si>
    <t>Ariane 5 VA81</t>
  </si>
  <si>
    <t>Progress 8-1</t>
  </si>
  <si>
    <t>Long March 2008-1</t>
  </si>
  <si>
    <t>Soyuz 2008-1</t>
  </si>
  <si>
    <t>PSLV-C8-1</t>
  </si>
  <si>
    <t>GPS-8-1</t>
  </si>
  <si>
    <t>Ariane 5 VA82</t>
  </si>
  <si>
    <t>Long March 2008-2</t>
  </si>
  <si>
    <t>Soyuz 2008-2</t>
  </si>
  <si>
    <t>Ariane 5 VA83</t>
  </si>
  <si>
    <t>Progress 8-2</t>
  </si>
  <si>
    <t>Ariane 5 VA84</t>
  </si>
  <si>
    <t>Long March 2008-3</t>
  </si>
  <si>
    <t>Soyuz 2008-3</t>
  </si>
  <si>
    <t>PSLV-C8-2</t>
  </si>
  <si>
    <t>Falcon 1 Flight 4</t>
  </si>
  <si>
    <t>Progress 8-3</t>
  </si>
  <si>
    <t>Chandrayaan-1</t>
  </si>
  <si>
    <t>PSLV-XL</t>
  </si>
  <si>
    <t>Ariane 5 VA91</t>
  </si>
  <si>
    <t>Progress 9-1</t>
  </si>
  <si>
    <t>Long March 2009-1</t>
  </si>
  <si>
    <t>Soyuz 2009-1</t>
  </si>
  <si>
    <t>PSLV-C9-1</t>
  </si>
  <si>
    <t>Kepler Space Telescope</t>
  </si>
  <si>
    <t>Delta II 7925</t>
  </si>
  <si>
    <t>Ariane 5 VA92</t>
  </si>
  <si>
    <t>GPS-9-1</t>
  </si>
  <si>
    <t>Long March 2009-2</t>
  </si>
  <si>
    <t>Ariane 5 VA93</t>
  </si>
  <si>
    <t>Soyuz 2009-2</t>
  </si>
  <si>
    <t>Progress 9-2</t>
  </si>
  <si>
    <t>Ariane 5 VA94</t>
  </si>
  <si>
    <t>Long March 2009-3</t>
  </si>
  <si>
    <t>Soyuz 2009-3</t>
  </si>
  <si>
    <t>PSLV-C9-2</t>
  </si>
  <si>
    <t>Progress 9-3</t>
  </si>
  <si>
    <t>Ariane 5 VA101</t>
  </si>
  <si>
    <t>Progress 10-1</t>
  </si>
  <si>
    <t>Long March 2010-1</t>
  </si>
  <si>
    <t>Soyuz 2010-1</t>
  </si>
  <si>
    <t>Soyuz 2010-5</t>
  </si>
  <si>
    <t>PSLV-C10-1</t>
  </si>
  <si>
    <t>GPS-10-1</t>
  </si>
  <si>
    <t>Atlas V</t>
  </si>
  <si>
    <t>Ariane 5 VA102</t>
  </si>
  <si>
    <t>Long March 2010-2</t>
  </si>
  <si>
    <t>Soyuz 2010-2</t>
  </si>
  <si>
    <t>Ariane 5 VA103</t>
  </si>
  <si>
    <t>Falcon 9 Flight 1</t>
  </si>
  <si>
    <t>Falcon 9 v1.0</t>
  </si>
  <si>
    <t>Progress 10-2</t>
  </si>
  <si>
    <t>Ariane 5 VA104</t>
  </si>
  <si>
    <t>Long March 2010-3</t>
  </si>
  <si>
    <t>Soyuz 2010-3</t>
  </si>
  <si>
    <t>PSLV-C10-2</t>
  </si>
  <si>
    <t>GPS-10-2</t>
  </si>
  <si>
    <t>Progress 10-3</t>
  </si>
  <si>
    <t>Long March 2010-4</t>
  </si>
  <si>
    <t>Soyuz 2010-4</t>
  </si>
  <si>
    <t>Long March 2010-5</t>
  </si>
  <si>
    <t>Long March 2010-6</t>
  </si>
  <si>
    <t>Ariane 5 VA111</t>
  </si>
  <si>
    <t>Progress 11-1</t>
  </si>
  <si>
    <t>Long March 2011-1</t>
  </si>
  <si>
    <t>Soyuz 2011-1</t>
  </si>
  <si>
    <t>Soyuz 2011-5</t>
  </si>
  <si>
    <t>PSLV-C11-1</t>
  </si>
  <si>
    <t>Ariane 5 VA112</t>
  </si>
  <si>
    <t>GPS-11-1</t>
  </si>
  <si>
    <t>Long March 2011-2</t>
  </si>
  <si>
    <t>Ariane 5 VA113</t>
  </si>
  <si>
    <t>Soyuz 2011-2</t>
  </si>
  <si>
    <t>Progress 11-2</t>
  </si>
  <si>
    <t>STS-135 (Atlantis)</t>
  </si>
  <si>
    <t>Ariane 5 VA114</t>
  </si>
  <si>
    <t>Long March 2011-3</t>
  </si>
  <si>
    <t>Soyuz 2011-3</t>
  </si>
  <si>
    <t>PSLV-C11-2</t>
  </si>
  <si>
    <t>GPS-11-2</t>
  </si>
  <si>
    <t>Progress 11-3</t>
  </si>
  <si>
    <t>Long March 2011-4</t>
  </si>
  <si>
    <t>Soyuz 2011-4</t>
  </si>
  <si>
    <t>Curiosity (MSL)</t>
  </si>
  <si>
    <t>Atlas V 541</t>
  </si>
  <si>
    <t>Long March 2011-6</t>
  </si>
  <si>
    <t>Long March 2011-5</t>
  </si>
  <si>
    <t>Dragon CRS-1</t>
  </si>
  <si>
    <t>Falcon 9 v1.1</t>
  </si>
  <si>
    <t>Ariane 5 VA121</t>
  </si>
  <si>
    <t>Progress 12-1</t>
  </si>
  <si>
    <t>Long March 2012-1</t>
  </si>
  <si>
    <t>Soyuz 2012-1</t>
  </si>
  <si>
    <t>Soyuz 2012-5</t>
  </si>
  <si>
    <t>PSLV-C12-1</t>
  </si>
  <si>
    <t>GPS-12-1</t>
  </si>
  <si>
    <t>Ariane 5 VA122</t>
  </si>
  <si>
    <t>Dragon CRS-2</t>
  </si>
  <si>
    <t>Long March 2012-2</t>
  </si>
  <si>
    <t>Ariane 5 VA123</t>
  </si>
  <si>
    <t>Soyuz 2012-2</t>
  </si>
  <si>
    <t>Dragon C2+ (ISS)</t>
  </si>
  <si>
    <t>Progress 12-2</t>
  </si>
  <si>
    <t>Ariane 5 VA124</t>
  </si>
  <si>
    <t>Long March 2012-3</t>
  </si>
  <si>
    <t>Soyuz 2012-3</t>
  </si>
  <si>
    <t>PSLV-C12-2</t>
  </si>
  <si>
    <t>GPS-12-2</t>
  </si>
  <si>
    <t>Progress 12-3</t>
  </si>
  <si>
    <t>Long March 2012-4</t>
  </si>
  <si>
    <t>Soyuz 2012-4</t>
  </si>
  <si>
    <t>Long March 2012-6</t>
  </si>
  <si>
    <t>Long March 2012-5</t>
  </si>
  <si>
    <t>Dragon CRS-3</t>
  </si>
  <si>
    <t>Ariane 5 VA131</t>
  </si>
  <si>
    <t>Progress 13-1</t>
  </si>
  <si>
    <t>Long March 2013-1</t>
  </si>
  <si>
    <t>Soyuz 2013-1</t>
  </si>
  <si>
    <t>Soyuz 2013-5</t>
  </si>
  <si>
    <t>PSLV-C13-1</t>
  </si>
  <si>
    <t>Ariane 5 VA132</t>
  </si>
  <si>
    <t>GPS-13-1</t>
  </si>
  <si>
    <t>Dragon CRS-4</t>
  </si>
  <si>
    <t>Long March 2013-2</t>
  </si>
  <si>
    <t>Soyuz 2013-2</t>
  </si>
  <si>
    <t>Ariane 5 VA133</t>
  </si>
  <si>
    <t>Progress 13-2</t>
  </si>
  <si>
    <t>Ariane 5 VA134</t>
  </si>
  <si>
    <t>Long March 2013-3</t>
  </si>
  <si>
    <t>Soyuz 2013-3</t>
  </si>
  <si>
    <t>PSLV-C13-2</t>
  </si>
  <si>
    <t>GPS-13-2</t>
  </si>
  <si>
    <t>Progress 13-3</t>
  </si>
  <si>
    <t>Mars Orbiter Mission</t>
  </si>
  <si>
    <t>Long March 2013-4</t>
  </si>
  <si>
    <t>Soyuz 2013-4</t>
  </si>
  <si>
    <t>Long March 2013-6</t>
  </si>
  <si>
    <t>Long March 2013-5</t>
  </si>
  <si>
    <t>Dragon CRS-5</t>
  </si>
  <si>
    <t>Ariane 5 VA141</t>
  </si>
  <si>
    <t>Progress 14-1</t>
  </si>
  <si>
    <t>Long March 2014-1</t>
  </si>
  <si>
    <t>Soyuz 2014-1</t>
  </si>
  <si>
    <t>Soyuz 2014-5</t>
  </si>
  <si>
    <t>PSLV-C14-1</t>
  </si>
  <si>
    <t>Ariane 5 VA142</t>
  </si>
  <si>
    <t>GPS-14-1</t>
  </si>
  <si>
    <t>Dragon CRS-6</t>
  </si>
  <si>
    <t>Long March 2014-2</t>
  </si>
  <si>
    <t>Soyuz 2014-2</t>
  </si>
  <si>
    <t>Ariane 5 VA143</t>
  </si>
  <si>
    <t>Progress 14-2</t>
  </si>
  <si>
    <t>Ariane 5 VA144</t>
  </si>
  <si>
    <t>Long March 2014-3</t>
  </si>
  <si>
    <t>Soyuz 2014-3</t>
  </si>
  <si>
    <t>PSLV-C14-2</t>
  </si>
  <si>
    <t>GPS-14-2</t>
  </si>
  <si>
    <t>Progress 14-3</t>
  </si>
  <si>
    <t>Long March 2014-4</t>
  </si>
  <si>
    <t>Soyuz 2014-4</t>
  </si>
  <si>
    <t>Hayabusa2</t>
  </si>
  <si>
    <t>H-IIA</t>
  </si>
  <si>
    <t>Long March 2014-6</t>
  </si>
  <si>
    <t>Long March 2014-5</t>
  </si>
  <si>
    <t>Dragon CRS-7</t>
  </si>
  <si>
    <t>Ariane 5 VA151</t>
  </si>
  <si>
    <t>Progress 15-1</t>
  </si>
  <si>
    <t>Long March 2015-1</t>
  </si>
  <si>
    <t>Soyuz 2015-5</t>
  </si>
  <si>
    <t>Soyuz 2015-1</t>
  </si>
  <si>
    <t>PSLV-C15-1</t>
  </si>
  <si>
    <t>Ariane 5 VA152</t>
  </si>
  <si>
    <t>GPS-15-1</t>
  </si>
  <si>
    <t>Dragon CRS-8</t>
  </si>
  <si>
    <t>New Shepard 1</t>
  </si>
  <si>
    <t>Blue Origin</t>
  </si>
  <si>
    <t>New Shepard</t>
  </si>
  <si>
    <t>West Texas, USA</t>
  </si>
  <si>
    <t>Long March 2015-2</t>
  </si>
  <si>
    <t>Soyuz 2015-2</t>
  </si>
  <si>
    <t>Ariane 5 VA153</t>
  </si>
  <si>
    <t>Progress 15-2</t>
  </si>
  <si>
    <t>Ariane 5 VA154</t>
  </si>
  <si>
    <t>Long March 2015-3</t>
  </si>
  <si>
    <t>Soyuz 2015-3</t>
  </si>
  <si>
    <t>PSLV-C15-2</t>
  </si>
  <si>
    <t>GPS-15-2</t>
  </si>
  <si>
    <t>Progress 15-3</t>
  </si>
  <si>
    <t>Long March 2015-4</t>
  </si>
  <si>
    <t>Soyuz 2015-4</t>
  </si>
  <si>
    <t>Long March 2015-6</t>
  </si>
  <si>
    <t>Long March 2015-5</t>
  </si>
  <si>
    <t>Falcon 9 FT-020 (First Landing)</t>
  </si>
  <si>
    <t>Falcon 9 FT</t>
  </si>
  <si>
    <t>Dragon CRS-9</t>
  </si>
  <si>
    <t>Ariane 5 VA161</t>
  </si>
  <si>
    <t>Progress 16-1</t>
  </si>
  <si>
    <t>Long March 2016-1</t>
  </si>
  <si>
    <t>Long March 5</t>
  </si>
  <si>
    <t>Soyuz 2016-5</t>
  </si>
  <si>
    <t>Soyuz 2016-1</t>
  </si>
  <si>
    <t>PSLV-C16-1</t>
  </si>
  <si>
    <t>GPS-16-1</t>
  </si>
  <si>
    <t>Ariane 5 VA162</t>
  </si>
  <si>
    <t>Dragon CRS-10</t>
  </si>
  <si>
    <t>Long March 2016-2</t>
  </si>
  <si>
    <t>Soyuz 2016-2</t>
  </si>
  <si>
    <t>Ariane 5 VA163</t>
  </si>
  <si>
    <t>Progress 16-2</t>
  </si>
  <si>
    <t>Ariane 5 VA164</t>
  </si>
  <si>
    <t>Long March 2016-3</t>
  </si>
  <si>
    <t>Soyuz 2016-3</t>
  </si>
  <si>
    <t>PSLV-C16-2</t>
  </si>
  <si>
    <t>GPS-16-2</t>
  </si>
  <si>
    <t>Progress 16-3</t>
  </si>
  <si>
    <t>Long March 2016-4</t>
  </si>
  <si>
    <t>Soyuz 2016-4</t>
  </si>
  <si>
    <t>Long March 2016-6</t>
  </si>
  <si>
    <t>Long March 2016-5</t>
  </si>
  <si>
    <t>Dragon CRS-11</t>
  </si>
  <si>
    <t>Ariane 5 VA171</t>
  </si>
  <si>
    <t>Progress 17-1</t>
  </si>
  <si>
    <t>Long March 2017-1</t>
  </si>
  <si>
    <t>Soyuz 2017-1</t>
  </si>
  <si>
    <t>Soyuz 2017-5</t>
  </si>
  <si>
    <t>PSLV-C17-1</t>
  </si>
  <si>
    <t>GPS-17-1</t>
  </si>
  <si>
    <t>Ariane 5 VA172</t>
  </si>
  <si>
    <t>Dragon CRS-12</t>
  </si>
  <si>
    <t>Long March 2017-2</t>
  </si>
  <si>
    <t>Soyuz 2017-2</t>
  </si>
  <si>
    <t>Ariane 5 VA173</t>
  </si>
  <si>
    <t>Electron Test Flight</t>
  </si>
  <si>
    <t>Rocket Lab</t>
  </si>
  <si>
    <t>NZL</t>
  </si>
  <si>
    <t>Electron</t>
  </si>
  <si>
    <t>Mahia Peninsula, New Zealand</t>
  </si>
  <si>
    <t>Progress 17-2</t>
  </si>
  <si>
    <t>Ariane 5 VA174</t>
  </si>
  <si>
    <t>Long March 2017-3</t>
  </si>
  <si>
    <t>Soyuz 2017-3</t>
  </si>
  <si>
    <t>PSLV-C17-2</t>
  </si>
  <si>
    <t>GPS-17-2</t>
  </si>
  <si>
    <t>Progress 17-3</t>
  </si>
  <si>
    <t>Long March 2017-4</t>
  </si>
  <si>
    <t>Soyuz 2017-4</t>
  </si>
  <si>
    <t>Long March 2017-6</t>
  </si>
  <si>
    <t>Long March 2017-5</t>
  </si>
  <si>
    <t>Dragon CRS-13</t>
  </si>
  <si>
    <t>Falcon 9 Block 5</t>
  </si>
  <si>
    <t>Ariane 5 VA181</t>
  </si>
  <si>
    <t>Its a Test</t>
  </si>
  <si>
    <t>Falcon Heavy Demo</t>
  </si>
  <si>
    <t>Falcon Heavy</t>
  </si>
  <si>
    <t>Progress 18-1</t>
  </si>
  <si>
    <t>Long March 2018-1</t>
  </si>
  <si>
    <t>Soyuz 2018-1</t>
  </si>
  <si>
    <t>Soyuz 2018-5</t>
  </si>
  <si>
    <t>PSLV-C18-1</t>
  </si>
  <si>
    <t>Ariane 5 VA182</t>
  </si>
  <si>
    <t>GPS-18-1</t>
  </si>
  <si>
    <t>Dragon CRS-14</t>
  </si>
  <si>
    <t>InSight</t>
  </si>
  <si>
    <t>Atlas V 401</t>
  </si>
  <si>
    <t>Vandenberg AFB, California</t>
  </si>
  <si>
    <t>Long March 2018-2</t>
  </si>
  <si>
    <t>Soyuz 2018-2</t>
  </si>
  <si>
    <t>Ariane 5 VA183</t>
  </si>
  <si>
    <t>Progress 18-2</t>
  </si>
  <si>
    <t>Ariane 5 VA184</t>
  </si>
  <si>
    <t>Long March 2018-3</t>
  </si>
  <si>
    <t>Soyuz 2018-3</t>
  </si>
  <si>
    <t>PSLV-C18-2</t>
  </si>
  <si>
    <t>GPS-18-2</t>
  </si>
  <si>
    <t>Progress 18-3</t>
  </si>
  <si>
    <t>Long March 2018-4</t>
  </si>
  <si>
    <t>Soyuz 2018-4</t>
  </si>
  <si>
    <t>Long March 2018-6</t>
  </si>
  <si>
    <t>Long March 2018-5</t>
  </si>
  <si>
    <t>Starlink Group 1</t>
  </si>
  <si>
    <t>Cape Canaveral SFS, Florida</t>
  </si>
  <si>
    <t>Dragon CRS-15</t>
  </si>
  <si>
    <t>Ariane 5 VA191</t>
  </si>
  <si>
    <t>Starlink Group 2</t>
  </si>
  <si>
    <t>Progress 19-1</t>
  </si>
  <si>
    <t>Long March 2019-1</t>
  </si>
  <si>
    <t>Soyuz 2019-1</t>
  </si>
  <si>
    <t>Soyuz 2019-5</t>
  </si>
  <si>
    <t>PSLV-C19-1</t>
  </si>
  <si>
    <t>Starlink Group 3</t>
  </si>
  <si>
    <t>Ariane 5 VA192</t>
  </si>
  <si>
    <t>GPS-19-1</t>
  </si>
  <si>
    <t>Starlink Group 4</t>
  </si>
  <si>
    <t>Dragon CRS-16</t>
  </si>
  <si>
    <t>Long March 2019-2</t>
  </si>
  <si>
    <t>Ariane 5 VA193</t>
  </si>
  <si>
    <t>Soyuz 2019-2</t>
  </si>
  <si>
    <t>Progress 19-2</t>
  </si>
  <si>
    <t>Ariane 5 VA194</t>
  </si>
  <si>
    <t>Chandrayaan-2</t>
  </si>
  <si>
    <t>GSLV Mk III</t>
  </si>
  <si>
    <t>Long March 2019-3</t>
  </si>
  <si>
    <t>Soyuz 2019-3</t>
  </si>
  <si>
    <t>PSLV-C19-2</t>
  </si>
  <si>
    <t>GPS-19-2</t>
  </si>
  <si>
    <t>Progress 19-3</t>
  </si>
  <si>
    <t>Long March 2019-4</t>
  </si>
  <si>
    <t>Soyuz 2019-4</t>
  </si>
  <si>
    <t>Long March 2019-5</t>
  </si>
  <si>
    <t>Long March 2019-6</t>
  </si>
  <si>
    <t>Starlink Group 5</t>
  </si>
  <si>
    <t>Dragon CRS-17</t>
  </si>
  <si>
    <t>Ariane 5 VA201</t>
  </si>
  <si>
    <t>Starlink Group 6</t>
  </si>
  <si>
    <t>Progress 20-1</t>
  </si>
  <si>
    <t>Long March 2020-1</t>
  </si>
  <si>
    <t>Soyuz 2020-5</t>
  </si>
  <si>
    <t>Soyuz 2020-1</t>
  </si>
  <si>
    <t>PSLV-C20-1</t>
  </si>
  <si>
    <t>Starlink Group 7</t>
  </si>
  <si>
    <t>Ariane 5 VA202</t>
  </si>
  <si>
    <t>GPS-20-1</t>
  </si>
  <si>
    <t>Starlink Group 8</t>
  </si>
  <si>
    <t>Dragon CRS-18</t>
  </si>
  <si>
    <t>Starlink Group 9</t>
  </si>
  <si>
    <t>Long March 2020-2</t>
  </si>
  <si>
    <t>Ariane 5 VA203</t>
  </si>
  <si>
    <t>Soyuz 2020-2</t>
  </si>
  <si>
    <t>Crew Dragon Demo-2</t>
  </si>
  <si>
    <t>Starlink Group 10</t>
  </si>
  <si>
    <t>Progress 20-2</t>
  </si>
  <si>
    <t>Dragon CRS-19</t>
  </si>
  <si>
    <t>Ariane 5 VA204</t>
  </si>
  <si>
    <t>Tianwen-1 (Mars)</t>
  </si>
  <si>
    <t>Wenchang, China</t>
  </si>
  <si>
    <t>Perseverance</t>
  </si>
  <si>
    <t>Long March 2020-3</t>
  </si>
  <si>
    <t>Soyuz 2020-3</t>
  </si>
  <si>
    <t>PSLV-C20-2</t>
  </si>
  <si>
    <t>GPS-20-2</t>
  </si>
  <si>
    <t>Dragon CRS-20</t>
  </si>
  <si>
    <t>Progress 20-3</t>
  </si>
  <si>
    <t>Long March 2020-4</t>
  </si>
  <si>
    <t>Soyuz 2020-4</t>
  </si>
  <si>
    <t>Long March 2020-5</t>
  </si>
  <si>
    <t>Long March 2020-6</t>
  </si>
  <si>
    <t>Starlink Group 11</t>
  </si>
  <si>
    <t>Dragon CRS-21</t>
  </si>
  <si>
    <t>Ariane 5 VA211</t>
  </si>
  <si>
    <t>Starlink Group 12</t>
  </si>
  <si>
    <t>Progress 21-1</t>
  </si>
  <si>
    <t>Long March 2021-1</t>
  </si>
  <si>
    <t>Soyuz 2021-5</t>
  </si>
  <si>
    <t>Soyuz 2021-1</t>
  </si>
  <si>
    <t>PSLV-C21-1</t>
  </si>
  <si>
    <t>Starlink Group 13</t>
  </si>
  <si>
    <t>Ariane 5 VA212</t>
  </si>
  <si>
    <t>GPS-21-1</t>
  </si>
  <si>
    <t>Starlink Group 14</t>
  </si>
  <si>
    <t>Dragon CRS-22</t>
  </si>
  <si>
    <t>Tianhe (CSS)</t>
  </si>
  <si>
    <t>Long March 5B</t>
  </si>
  <si>
    <t>Starlink Group 15</t>
  </si>
  <si>
    <t>Long March 2021-2</t>
  </si>
  <si>
    <t>Ariane 5 VA213</t>
  </si>
  <si>
    <t>Soyuz 2021-2</t>
  </si>
  <si>
    <t>Starlink Group 16</t>
  </si>
  <si>
    <t>Progress 21-2</t>
  </si>
  <si>
    <t>Dragon CRS-23</t>
  </si>
  <si>
    <t>Starlink Group 17</t>
  </si>
  <si>
    <t>Ariane 5 VA214</t>
  </si>
  <si>
    <t>New Shepard NS-15 (Bezos)</t>
  </si>
  <si>
    <t>Starlink Group 18</t>
  </si>
  <si>
    <t>Long March 2021-3</t>
  </si>
  <si>
    <t>Soyuz 2021-3</t>
  </si>
  <si>
    <t>PSLV-C21-2</t>
  </si>
  <si>
    <t>Starlink Group 19</t>
  </si>
  <si>
    <t>GPS-21-2</t>
  </si>
  <si>
    <t>Dragon CRS-24</t>
  </si>
  <si>
    <t>Progress 21-3</t>
  </si>
  <si>
    <t>Starlink Group 20</t>
  </si>
  <si>
    <t>Long March 2021-4</t>
  </si>
  <si>
    <t>Soyuz 2021-4</t>
  </si>
  <si>
    <t>Long March 2021-5</t>
  </si>
  <si>
    <t>Long March 2021-6</t>
  </si>
  <si>
    <t>Ariane 5 VA256 (JWST)</t>
  </si>
  <si>
    <t>Ariane 5 ECA+</t>
  </si>
  <si>
    <t>James Webb Space Telescope</t>
  </si>
  <si>
    <t>Starlink Group 21</t>
  </si>
  <si>
    <t>Dragon CRS-25</t>
  </si>
  <si>
    <t>Ariane 5 VA221</t>
  </si>
  <si>
    <t>Starlink Group 22</t>
  </si>
  <si>
    <t>Progress 22-1</t>
  </si>
  <si>
    <t>Long March 2022-1</t>
  </si>
  <si>
    <t>Soyuz 2022-5</t>
  </si>
  <si>
    <t>Soyuz 2022-1</t>
  </si>
  <si>
    <t>PSLV-C22-1</t>
  </si>
  <si>
    <t>Starlink Group 23</t>
  </si>
  <si>
    <t>GPS-22-1</t>
  </si>
  <si>
    <t>Ariane 5 VA222</t>
  </si>
  <si>
    <t>Starlink Group 24</t>
  </si>
  <si>
    <t>Dragon CRS-26</t>
  </si>
  <si>
    <t>Starlink Group 25</t>
  </si>
  <si>
    <t>Long March 2022-2</t>
  </si>
  <si>
    <t>Ariane 5 VA223</t>
  </si>
  <si>
    <t>Soyuz 2022-2</t>
  </si>
  <si>
    <t>Starlink Group 26</t>
  </si>
  <si>
    <t>Progress 22-2</t>
  </si>
  <si>
    <t>Dragon CRS-27</t>
  </si>
  <si>
    <t>Starlink Group 27</t>
  </si>
  <si>
    <t>Ariane 5 VA224</t>
  </si>
  <si>
    <t>Starlink Group 28</t>
  </si>
  <si>
    <t>Long March 2022-3</t>
  </si>
  <si>
    <t>Soyuz 2022-3</t>
  </si>
  <si>
    <t>PSLV-C22-2</t>
  </si>
  <si>
    <t>Starlink Group 29</t>
  </si>
  <si>
    <t>GPS-22-2</t>
  </si>
  <si>
    <t>Dragon CRS-28</t>
  </si>
  <si>
    <t>Starlink Group 30</t>
  </si>
  <si>
    <t>Progress 22-3</t>
  </si>
  <si>
    <t>Long March 2022-4</t>
  </si>
  <si>
    <t>Soyuz 2022-4</t>
  </si>
  <si>
    <t>Artemis I</t>
  </si>
  <si>
    <t>SLS Block 1</t>
  </si>
  <si>
    <t>Long March 2022-5</t>
  </si>
  <si>
    <t>Long March 2022-6</t>
  </si>
  <si>
    <t>Starlink Group 31</t>
  </si>
  <si>
    <t>Dragon CRS-29</t>
  </si>
  <si>
    <t>Ariane 5 VA231</t>
  </si>
  <si>
    <t>Starlink Group 32</t>
  </si>
  <si>
    <t>Progress 23-1</t>
  </si>
  <si>
    <t>Long March 2023-1</t>
  </si>
  <si>
    <t>Soyuz 2023-1</t>
  </si>
  <si>
    <t>Soyuz 2023-5</t>
  </si>
  <si>
    <t>PSLV-C23-1</t>
  </si>
  <si>
    <t>Starlink Group 33</t>
  </si>
  <si>
    <t>GPS-23-1</t>
  </si>
  <si>
    <t>Ariane 5 VA232</t>
  </si>
  <si>
    <t>Starlink Group 34</t>
  </si>
  <si>
    <t>Dragon CRS-30</t>
  </si>
  <si>
    <t>Starlink Group 35</t>
  </si>
  <si>
    <t>Long March 2023-2</t>
  </si>
  <si>
    <t>Ariane 5 VA233</t>
  </si>
  <si>
    <t>Soyuz 2023-2</t>
  </si>
  <si>
    <t>Starlink Group 36</t>
  </si>
  <si>
    <t>Progress 23-2</t>
  </si>
  <si>
    <t>Dragon CRS-31</t>
  </si>
  <si>
    <t>Starlink Group 37</t>
  </si>
  <si>
    <t>Chandrayaan-3</t>
  </si>
  <si>
    <t>LVM3</t>
  </si>
  <si>
    <t>Ariane 5 VA234</t>
  </si>
  <si>
    <t>Starlink Group 38</t>
  </si>
  <si>
    <t>Long March 2023-3</t>
  </si>
  <si>
    <t>Soyuz 2023-3</t>
  </si>
  <si>
    <t>PSLV-C23-2</t>
  </si>
  <si>
    <t>Starlink Group 39</t>
  </si>
  <si>
    <t>GPS-23-2</t>
  </si>
  <si>
    <t>Dragon CRS-32</t>
  </si>
  <si>
    <t>Progress 23-3</t>
  </si>
  <si>
    <t>Starlink Group 40</t>
  </si>
  <si>
    <t>Long March 2023-4</t>
  </si>
  <si>
    <t>Soyuz 2023-4</t>
  </si>
  <si>
    <t>Long March 2023-6</t>
  </si>
  <si>
    <t>Long March 2023-5</t>
  </si>
  <si>
    <t>ÉVOLUTION ANNUELLE DES MISSIONS</t>
  </si>
  <si>
    <t>Année</t>
  </si>
  <si>
    <t>Total Missions</t>
  </si>
  <si>
    <t>Succès</t>
  </si>
  <si>
    <t>Échecs</t>
  </si>
  <si>
    <t>Taux Succès (%)</t>
  </si>
  <si>
    <t>Coût Total ($M)</t>
  </si>
  <si>
    <t>Coût Moyen ($M)</t>
  </si>
  <si>
    <t>ANALYSE PAR AGENCE SPATIALE</t>
  </si>
  <si>
    <t>Agence</t>
  </si>
  <si>
    <t>Pays</t>
  </si>
  <si>
    <t>Type</t>
  </si>
  <si>
    <t>Missions</t>
  </si>
  <si>
    <t>Taux %</t>
  </si>
  <si>
    <t>INDICATEURS CLÉS</t>
  </si>
  <si>
    <t>Taux de Succès Global (%)</t>
  </si>
  <si>
    <t>Coût Total Investi ($M)</t>
  </si>
  <si>
    <t>Coût Moyen/Mission ($M)</t>
  </si>
  <si>
    <t>Nombre d'Agences</t>
  </si>
  <si>
    <t>Nombre de Pays</t>
  </si>
  <si>
    <t>Période</t>
  </si>
  <si>
    <t>1957-2023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</si>
</sst>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:mm:ss"/>
    <numFmt numFmtId="165" formatCode="0.0"/>
    <numFmt numFmtId="166" formatCode="\$#,##0"/>
    <numFmt numFmtId="167" formatCode="0.0\%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2E5090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0" fillId="0" borderId="0" xfId="0" applyNumberFormat="1"/>
    <xf numFmtId="0" fontId="3" fillId="2" borderId="0" xfId="0" applyFont="1" applyFill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6"/>
  <sheetViews>
    <sheetView tabSelected="1" zoomScaleNormal="100" workbookViewId="0">
      <selection activeCell="B1" sqref="B1"/>
    </sheetView>
  </sheetViews>
  <sheetFormatPr baseColWidth="10" defaultColWidth="8.6640625" defaultRowHeight="14.4" x14ac:dyDescent="0.3"/>
  <cols>
    <col min="2" max="2" width="17" bestFit="1" customWidth="1"/>
  </cols>
  <sheetData>
    <row r="1" spans="1:13" ht="17.399999999999999" x14ac:dyDescent="0.3">
      <c r="A1" s="1" t="s">
        <v>0</v>
      </c>
    </row>
    <row r="2" spans="1:13" x14ac:dyDescent="0.3">
      <c r="A2" s="2" t="s">
        <v>1</v>
      </c>
    </row>
    <row r="4" spans="1:13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t="s">
        <v>15</v>
      </c>
      <c r="B5" s="4">
        <v>21097</v>
      </c>
      <c r="C5">
        <v>1957</v>
      </c>
      <c r="D5">
        <v>10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>
        <v>0</v>
      </c>
      <c r="K5" t="b">
        <f>FALSE()</f>
        <v>0</v>
      </c>
      <c r="L5" t="s">
        <v>21</v>
      </c>
      <c r="M5" t="s">
        <v>22</v>
      </c>
    </row>
    <row r="6" spans="1:13" x14ac:dyDescent="0.3">
      <c r="A6" t="s">
        <v>23</v>
      </c>
      <c r="B6" s="4">
        <v>21127</v>
      </c>
      <c r="C6">
        <v>1957</v>
      </c>
      <c r="D6">
        <v>11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>
        <v>0</v>
      </c>
      <c r="K6" t="b">
        <f>FALSE()</f>
        <v>0</v>
      </c>
      <c r="L6" t="s">
        <v>21</v>
      </c>
      <c r="M6" t="s">
        <v>22</v>
      </c>
    </row>
    <row r="7" spans="1:13" x14ac:dyDescent="0.3">
      <c r="A7" t="s">
        <v>24</v>
      </c>
      <c r="B7" s="4">
        <v>21160</v>
      </c>
      <c r="C7">
        <v>1957</v>
      </c>
      <c r="D7">
        <v>12</v>
      </c>
      <c r="E7" t="s">
        <v>25</v>
      </c>
      <c r="F7" t="s">
        <v>26</v>
      </c>
      <c r="G7" t="s">
        <v>18</v>
      </c>
      <c r="H7" t="s">
        <v>27</v>
      </c>
      <c r="I7" t="s">
        <v>28</v>
      </c>
      <c r="J7">
        <v>0</v>
      </c>
      <c r="K7" t="b">
        <f>FALSE()</f>
        <v>0</v>
      </c>
      <c r="L7" t="s">
        <v>29</v>
      </c>
      <c r="M7" t="s">
        <v>22</v>
      </c>
    </row>
    <row r="8" spans="1:13" x14ac:dyDescent="0.3">
      <c r="A8" t="s">
        <v>30</v>
      </c>
      <c r="B8" s="4">
        <v>21217</v>
      </c>
      <c r="C8">
        <v>1958</v>
      </c>
      <c r="D8">
        <v>2</v>
      </c>
      <c r="E8" t="s">
        <v>16</v>
      </c>
      <c r="F8" t="s">
        <v>31</v>
      </c>
      <c r="G8" t="s">
        <v>18</v>
      </c>
      <c r="H8" t="s">
        <v>27</v>
      </c>
      <c r="I8" t="s">
        <v>32</v>
      </c>
      <c r="J8">
        <v>0</v>
      </c>
      <c r="K8" t="b">
        <f>FALSE()</f>
        <v>0</v>
      </c>
      <c r="L8" t="s">
        <v>29</v>
      </c>
      <c r="M8" t="s">
        <v>22</v>
      </c>
    </row>
    <row r="9" spans="1:13" x14ac:dyDescent="0.3">
      <c r="A9" t="s">
        <v>33</v>
      </c>
      <c r="B9" s="4">
        <v>21261</v>
      </c>
      <c r="C9">
        <v>1958</v>
      </c>
      <c r="D9">
        <v>3</v>
      </c>
      <c r="E9" t="s">
        <v>16</v>
      </c>
      <c r="F9" t="s">
        <v>26</v>
      </c>
      <c r="G9" t="s">
        <v>18</v>
      </c>
      <c r="H9" t="s">
        <v>27</v>
      </c>
      <c r="I9" t="s">
        <v>28</v>
      </c>
      <c r="J9">
        <v>0</v>
      </c>
      <c r="K9" t="b">
        <f>FALSE()</f>
        <v>0</v>
      </c>
      <c r="L9" t="s">
        <v>29</v>
      </c>
      <c r="M9" t="s">
        <v>22</v>
      </c>
    </row>
    <row r="10" spans="1:13" x14ac:dyDescent="0.3">
      <c r="A10" t="s">
        <v>34</v>
      </c>
      <c r="B10" s="4">
        <v>21552</v>
      </c>
      <c r="C10">
        <v>1959</v>
      </c>
      <c r="D10">
        <v>1</v>
      </c>
      <c r="E10" t="s">
        <v>16</v>
      </c>
      <c r="F10" t="s">
        <v>17</v>
      </c>
      <c r="G10" t="s">
        <v>18</v>
      </c>
      <c r="H10" t="s">
        <v>19</v>
      </c>
      <c r="I10" t="s">
        <v>35</v>
      </c>
      <c r="J10">
        <v>0</v>
      </c>
      <c r="K10" t="b">
        <f>FALSE()</f>
        <v>0</v>
      </c>
      <c r="L10" t="s">
        <v>21</v>
      </c>
      <c r="M10" t="s">
        <v>22</v>
      </c>
    </row>
    <row r="11" spans="1:13" x14ac:dyDescent="0.3">
      <c r="A11" t="s">
        <v>36</v>
      </c>
      <c r="B11" s="4">
        <v>21805</v>
      </c>
      <c r="C11">
        <v>1959</v>
      </c>
      <c r="D11">
        <v>9</v>
      </c>
      <c r="E11" t="s">
        <v>16</v>
      </c>
      <c r="F11" t="s">
        <v>17</v>
      </c>
      <c r="G11" t="s">
        <v>18</v>
      </c>
      <c r="H11" t="s">
        <v>19</v>
      </c>
      <c r="I11" t="s">
        <v>35</v>
      </c>
      <c r="J11">
        <v>0</v>
      </c>
      <c r="K11" t="b">
        <f>FALSE()</f>
        <v>0</v>
      </c>
      <c r="L11" t="s">
        <v>21</v>
      </c>
      <c r="M11" t="s">
        <v>22</v>
      </c>
    </row>
    <row r="12" spans="1:13" x14ac:dyDescent="0.3">
      <c r="A12" t="s">
        <v>37</v>
      </c>
      <c r="B12" s="4">
        <v>21827</v>
      </c>
      <c r="C12">
        <v>1959</v>
      </c>
      <c r="D12">
        <v>10</v>
      </c>
      <c r="E12" t="s">
        <v>16</v>
      </c>
      <c r="F12" t="s">
        <v>17</v>
      </c>
      <c r="G12" t="s">
        <v>18</v>
      </c>
      <c r="H12" t="s">
        <v>19</v>
      </c>
      <c r="I12" t="s">
        <v>35</v>
      </c>
      <c r="J12">
        <v>0</v>
      </c>
      <c r="K12" t="b">
        <f>FALSE()</f>
        <v>0</v>
      </c>
      <c r="L12" t="s">
        <v>21</v>
      </c>
      <c r="M12" t="s">
        <v>22</v>
      </c>
    </row>
    <row r="13" spans="1:13" x14ac:dyDescent="0.3">
      <c r="A13" t="s">
        <v>38</v>
      </c>
      <c r="B13" s="4">
        <v>22383</v>
      </c>
      <c r="C13">
        <v>1961</v>
      </c>
      <c r="D13">
        <v>4</v>
      </c>
      <c r="E13" t="s">
        <v>16</v>
      </c>
      <c r="F13" t="s">
        <v>17</v>
      </c>
      <c r="G13" t="s">
        <v>18</v>
      </c>
      <c r="H13" t="s">
        <v>19</v>
      </c>
      <c r="I13" t="s">
        <v>39</v>
      </c>
      <c r="J13">
        <v>0</v>
      </c>
      <c r="K13" t="b">
        <f>FALSE()</f>
        <v>0</v>
      </c>
      <c r="L13" t="s">
        <v>21</v>
      </c>
      <c r="M13" t="s">
        <v>22</v>
      </c>
    </row>
    <row r="14" spans="1:13" x14ac:dyDescent="0.3">
      <c r="A14" t="s">
        <v>40</v>
      </c>
      <c r="B14" s="4">
        <v>22406</v>
      </c>
      <c r="C14">
        <v>1961</v>
      </c>
      <c r="D14">
        <v>5</v>
      </c>
      <c r="E14" t="s">
        <v>16</v>
      </c>
      <c r="F14" t="s">
        <v>41</v>
      </c>
      <c r="G14" t="s">
        <v>18</v>
      </c>
      <c r="H14" t="s">
        <v>27</v>
      </c>
      <c r="I14" t="s">
        <v>42</v>
      </c>
      <c r="J14">
        <v>0</v>
      </c>
      <c r="K14" t="b">
        <f>FALSE()</f>
        <v>0</v>
      </c>
      <c r="L14" t="s">
        <v>29</v>
      </c>
      <c r="M14" t="s">
        <v>22</v>
      </c>
    </row>
    <row r="15" spans="1:13" x14ac:dyDescent="0.3">
      <c r="A15" t="s">
        <v>43</v>
      </c>
      <c r="B15" s="4">
        <v>23178</v>
      </c>
      <c r="C15">
        <v>1963</v>
      </c>
      <c r="D15">
        <v>6</v>
      </c>
      <c r="E15" t="s">
        <v>16</v>
      </c>
      <c r="F15" t="s">
        <v>17</v>
      </c>
      <c r="G15" t="s">
        <v>18</v>
      </c>
      <c r="H15" t="s">
        <v>19</v>
      </c>
      <c r="I15" t="s">
        <v>39</v>
      </c>
      <c r="J15">
        <v>0</v>
      </c>
      <c r="K15" t="b">
        <f>FALSE()</f>
        <v>0</v>
      </c>
      <c r="L15" t="s">
        <v>21</v>
      </c>
      <c r="M15" t="s">
        <v>22</v>
      </c>
    </row>
    <row r="16" spans="1:13" x14ac:dyDescent="0.3">
      <c r="A16" t="s">
        <v>44</v>
      </c>
      <c r="B16" s="4">
        <v>24518</v>
      </c>
      <c r="C16">
        <v>1967</v>
      </c>
      <c r="D16">
        <v>2</v>
      </c>
      <c r="E16" t="s">
        <v>25</v>
      </c>
      <c r="F16" t="s">
        <v>17</v>
      </c>
      <c r="G16" t="s">
        <v>18</v>
      </c>
      <c r="H16" t="s">
        <v>19</v>
      </c>
      <c r="I16" t="s">
        <v>45</v>
      </c>
      <c r="J16">
        <v>50</v>
      </c>
      <c r="K16" t="b">
        <f>FALSE()</f>
        <v>0</v>
      </c>
      <c r="L16" t="s">
        <v>21</v>
      </c>
      <c r="M16" t="s">
        <v>22</v>
      </c>
    </row>
    <row r="17" spans="1:13" x14ac:dyDescent="0.3">
      <c r="A17" t="s">
        <v>46</v>
      </c>
      <c r="B17" s="4">
        <v>24607</v>
      </c>
      <c r="C17">
        <v>1967</v>
      </c>
      <c r="D17">
        <v>5</v>
      </c>
      <c r="E17" t="s">
        <v>16</v>
      </c>
      <c r="F17" t="s">
        <v>17</v>
      </c>
      <c r="G17" t="s">
        <v>18</v>
      </c>
      <c r="H17" t="s">
        <v>19</v>
      </c>
      <c r="I17" t="s">
        <v>45</v>
      </c>
      <c r="J17">
        <v>50</v>
      </c>
      <c r="K17" t="b">
        <f>FALSE()</f>
        <v>0</v>
      </c>
      <c r="L17" t="s">
        <v>21</v>
      </c>
      <c r="M17" t="s">
        <v>22</v>
      </c>
    </row>
    <row r="18" spans="1:13" x14ac:dyDescent="0.3">
      <c r="A18" t="s">
        <v>47</v>
      </c>
      <c r="B18" s="4">
        <v>24883</v>
      </c>
      <c r="C18">
        <v>1968</v>
      </c>
      <c r="D18">
        <v>2</v>
      </c>
      <c r="E18" t="s">
        <v>16</v>
      </c>
      <c r="F18" t="s">
        <v>17</v>
      </c>
      <c r="G18" t="s">
        <v>18</v>
      </c>
      <c r="H18" t="s">
        <v>19</v>
      </c>
      <c r="I18" t="s">
        <v>45</v>
      </c>
      <c r="J18">
        <v>50</v>
      </c>
      <c r="K18" t="b">
        <f>FALSE()</f>
        <v>0</v>
      </c>
      <c r="L18" t="s">
        <v>21</v>
      </c>
      <c r="M18" t="s">
        <v>22</v>
      </c>
    </row>
    <row r="19" spans="1:13" x14ac:dyDescent="0.3">
      <c r="A19" t="s">
        <v>48</v>
      </c>
      <c r="B19" s="4">
        <v>24973</v>
      </c>
      <c r="C19">
        <v>1968</v>
      </c>
      <c r="D19">
        <v>5</v>
      </c>
      <c r="E19" t="s">
        <v>16</v>
      </c>
      <c r="F19" t="s">
        <v>17</v>
      </c>
      <c r="G19" t="s">
        <v>18</v>
      </c>
      <c r="H19" t="s">
        <v>19</v>
      </c>
      <c r="I19" t="s">
        <v>45</v>
      </c>
      <c r="J19">
        <v>50</v>
      </c>
      <c r="K19" t="b">
        <f>FALSE()</f>
        <v>0</v>
      </c>
      <c r="L19" t="s">
        <v>21</v>
      </c>
      <c r="M19" t="s">
        <v>22</v>
      </c>
    </row>
    <row r="20" spans="1:13" x14ac:dyDescent="0.3">
      <c r="A20" t="s">
        <v>49</v>
      </c>
      <c r="B20" s="4">
        <v>25122</v>
      </c>
      <c r="C20">
        <v>1968</v>
      </c>
      <c r="D20">
        <v>10</v>
      </c>
      <c r="E20" t="s">
        <v>16</v>
      </c>
      <c r="F20" t="s">
        <v>41</v>
      </c>
      <c r="G20" t="s">
        <v>18</v>
      </c>
      <c r="H20" t="s">
        <v>27</v>
      </c>
      <c r="I20" t="s">
        <v>50</v>
      </c>
      <c r="J20">
        <v>445</v>
      </c>
      <c r="K20" t="b">
        <f>FALSE()</f>
        <v>0</v>
      </c>
      <c r="L20" t="s">
        <v>29</v>
      </c>
      <c r="M20" t="s">
        <v>22</v>
      </c>
    </row>
    <row r="21" spans="1:13" x14ac:dyDescent="0.3">
      <c r="A21" t="s">
        <v>51</v>
      </c>
      <c r="B21" s="4">
        <v>25193</v>
      </c>
      <c r="C21">
        <v>1968</v>
      </c>
      <c r="D21">
        <v>12</v>
      </c>
      <c r="E21" t="s">
        <v>16</v>
      </c>
      <c r="F21" t="s">
        <v>41</v>
      </c>
      <c r="G21" t="s">
        <v>18</v>
      </c>
      <c r="H21" t="s">
        <v>27</v>
      </c>
      <c r="I21" t="s">
        <v>52</v>
      </c>
      <c r="J21">
        <v>1230</v>
      </c>
      <c r="K21" t="b">
        <f>FALSE()</f>
        <v>0</v>
      </c>
      <c r="L21" t="s">
        <v>53</v>
      </c>
      <c r="M21" t="s">
        <v>22</v>
      </c>
    </row>
    <row r="22" spans="1:13" x14ac:dyDescent="0.3">
      <c r="A22" t="s">
        <v>54</v>
      </c>
      <c r="B22" s="4">
        <v>25249</v>
      </c>
      <c r="C22">
        <v>1969</v>
      </c>
      <c r="D22">
        <v>2</v>
      </c>
      <c r="E22" t="s">
        <v>16</v>
      </c>
      <c r="F22" t="s">
        <v>17</v>
      </c>
      <c r="G22" t="s">
        <v>18</v>
      </c>
      <c r="H22" t="s">
        <v>19</v>
      </c>
      <c r="I22" t="s">
        <v>45</v>
      </c>
      <c r="J22">
        <v>50</v>
      </c>
      <c r="K22" t="b">
        <f>FALSE()</f>
        <v>0</v>
      </c>
      <c r="L22" t="s">
        <v>21</v>
      </c>
      <c r="M22" t="s">
        <v>22</v>
      </c>
    </row>
    <row r="23" spans="1:13" x14ac:dyDescent="0.3">
      <c r="A23" t="s">
        <v>55</v>
      </c>
      <c r="B23" s="4">
        <v>25338</v>
      </c>
      <c r="C23">
        <v>1969</v>
      </c>
      <c r="D23">
        <v>5</v>
      </c>
      <c r="E23" t="s">
        <v>16</v>
      </c>
      <c r="F23" t="s">
        <v>17</v>
      </c>
      <c r="G23" t="s">
        <v>18</v>
      </c>
      <c r="H23" t="s">
        <v>19</v>
      </c>
      <c r="I23" t="s">
        <v>45</v>
      </c>
      <c r="J23">
        <v>50</v>
      </c>
      <c r="K23" t="b">
        <f>FALSE()</f>
        <v>0</v>
      </c>
      <c r="L23" t="s">
        <v>21</v>
      </c>
      <c r="M23" t="s">
        <v>22</v>
      </c>
    </row>
    <row r="24" spans="1:13" x14ac:dyDescent="0.3">
      <c r="A24" t="s">
        <v>56</v>
      </c>
      <c r="B24" s="4">
        <v>25400</v>
      </c>
      <c r="C24">
        <v>1969</v>
      </c>
      <c r="D24">
        <v>7</v>
      </c>
      <c r="E24" t="s">
        <v>16</v>
      </c>
      <c r="F24" t="s">
        <v>41</v>
      </c>
      <c r="G24" t="s">
        <v>18</v>
      </c>
      <c r="H24" t="s">
        <v>27</v>
      </c>
      <c r="I24" t="s">
        <v>52</v>
      </c>
      <c r="J24">
        <v>1230</v>
      </c>
      <c r="K24" t="b">
        <f>FALSE()</f>
        <v>0</v>
      </c>
      <c r="L24" t="s">
        <v>53</v>
      </c>
      <c r="M24" t="s">
        <v>22</v>
      </c>
    </row>
    <row r="25" spans="1:13" x14ac:dyDescent="0.3">
      <c r="A25" t="s">
        <v>57</v>
      </c>
      <c r="B25" s="4">
        <v>25611</v>
      </c>
      <c r="C25">
        <v>1970</v>
      </c>
      <c r="D25">
        <v>2</v>
      </c>
      <c r="E25" t="s">
        <v>16</v>
      </c>
      <c r="F25" t="s">
        <v>58</v>
      </c>
      <c r="G25" t="s">
        <v>18</v>
      </c>
      <c r="H25" t="s">
        <v>59</v>
      </c>
      <c r="I25" t="s">
        <v>60</v>
      </c>
      <c r="J25">
        <v>70</v>
      </c>
      <c r="K25" t="b">
        <f>FALSE()</f>
        <v>0</v>
      </c>
      <c r="L25" t="s">
        <v>61</v>
      </c>
      <c r="M25" t="s">
        <v>22</v>
      </c>
    </row>
    <row r="26" spans="1:13" x14ac:dyDescent="0.3">
      <c r="A26" t="s">
        <v>62</v>
      </c>
      <c r="B26" s="4">
        <v>25614</v>
      </c>
      <c r="C26">
        <v>1970</v>
      </c>
      <c r="D26">
        <v>2</v>
      </c>
      <c r="E26" t="s">
        <v>16</v>
      </c>
      <c r="F26" t="s">
        <v>17</v>
      </c>
      <c r="G26" t="s">
        <v>18</v>
      </c>
      <c r="H26" t="s">
        <v>19</v>
      </c>
      <c r="I26" t="s">
        <v>45</v>
      </c>
      <c r="J26">
        <v>50</v>
      </c>
      <c r="K26" t="b">
        <f>FALSE()</f>
        <v>0</v>
      </c>
      <c r="L26" t="s">
        <v>21</v>
      </c>
      <c r="M26" t="s">
        <v>22</v>
      </c>
    </row>
    <row r="27" spans="1:13" x14ac:dyDescent="0.3">
      <c r="A27" t="s">
        <v>63</v>
      </c>
      <c r="B27" s="4">
        <v>25669</v>
      </c>
      <c r="C27">
        <v>1970</v>
      </c>
      <c r="D27">
        <v>4</v>
      </c>
      <c r="E27" t="s">
        <v>64</v>
      </c>
      <c r="F27" t="s">
        <v>41</v>
      </c>
      <c r="G27" t="s">
        <v>18</v>
      </c>
      <c r="H27" t="s">
        <v>27</v>
      </c>
      <c r="I27" t="s">
        <v>52</v>
      </c>
      <c r="J27">
        <v>1230</v>
      </c>
      <c r="K27" t="b">
        <f>FALSE()</f>
        <v>0</v>
      </c>
      <c r="L27" t="s">
        <v>53</v>
      </c>
      <c r="M27" t="s">
        <v>22</v>
      </c>
    </row>
    <row r="28" spans="1:13" x14ac:dyDescent="0.3">
      <c r="A28" t="s">
        <v>65</v>
      </c>
      <c r="B28" s="4">
        <v>25682</v>
      </c>
      <c r="C28">
        <v>1970</v>
      </c>
      <c r="D28">
        <v>4</v>
      </c>
      <c r="E28" t="s">
        <v>16</v>
      </c>
      <c r="F28" t="s">
        <v>58</v>
      </c>
      <c r="G28" t="s">
        <v>18</v>
      </c>
      <c r="H28" t="s">
        <v>59</v>
      </c>
      <c r="I28" t="s">
        <v>66</v>
      </c>
      <c r="J28">
        <v>0</v>
      </c>
      <c r="K28" t="b">
        <f>FALSE()</f>
        <v>0</v>
      </c>
      <c r="L28" t="s">
        <v>61</v>
      </c>
      <c r="M28" t="s">
        <v>22</v>
      </c>
    </row>
    <row r="29" spans="1:13" x14ac:dyDescent="0.3">
      <c r="A29" t="s">
        <v>67</v>
      </c>
      <c r="B29" s="4">
        <v>25703</v>
      </c>
      <c r="C29">
        <v>1970</v>
      </c>
      <c r="D29">
        <v>5</v>
      </c>
      <c r="E29" t="s">
        <v>16</v>
      </c>
      <c r="F29" t="s">
        <v>17</v>
      </c>
      <c r="G29" t="s">
        <v>18</v>
      </c>
      <c r="H29" t="s">
        <v>19</v>
      </c>
      <c r="I29" t="s">
        <v>45</v>
      </c>
      <c r="J29">
        <v>50</v>
      </c>
      <c r="K29" t="b">
        <f>FALSE()</f>
        <v>0</v>
      </c>
      <c r="L29" t="s">
        <v>21</v>
      </c>
      <c r="M29" t="s">
        <v>22</v>
      </c>
    </row>
    <row r="30" spans="1:13" x14ac:dyDescent="0.3">
      <c r="A30" t="s">
        <v>68</v>
      </c>
      <c r="B30" s="4">
        <v>25976</v>
      </c>
      <c r="C30">
        <v>1971</v>
      </c>
      <c r="D30">
        <v>2</v>
      </c>
      <c r="E30" t="s">
        <v>16</v>
      </c>
      <c r="F30" t="s">
        <v>58</v>
      </c>
      <c r="G30" t="s">
        <v>18</v>
      </c>
      <c r="H30" t="s">
        <v>59</v>
      </c>
      <c r="I30" t="s">
        <v>60</v>
      </c>
      <c r="J30">
        <v>70</v>
      </c>
      <c r="K30" t="b">
        <f>FALSE()</f>
        <v>0</v>
      </c>
      <c r="L30" t="s">
        <v>61</v>
      </c>
      <c r="M30" t="s">
        <v>22</v>
      </c>
    </row>
    <row r="31" spans="1:13" x14ac:dyDescent="0.3">
      <c r="A31" t="s">
        <v>69</v>
      </c>
      <c r="B31" s="4">
        <v>25979</v>
      </c>
      <c r="C31">
        <v>1971</v>
      </c>
      <c r="D31">
        <v>2</v>
      </c>
      <c r="E31" t="s">
        <v>16</v>
      </c>
      <c r="F31" t="s">
        <v>17</v>
      </c>
      <c r="G31" t="s">
        <v>18</v>
      </c>
      <c r="H31" t="s">
        <v>19</v>
      </c>
      <c r="I31" t="s">
        <v>45</v>
      </c>
      <c r="J31">
        <v>50</v>
      </c>
      <c r="K31" t="b">
        <f>FALSE()</f>
        <v>0</v>
      </c>
      <c r="L31" t="s">
        <v>21</v>
      </c>
      <c r="M31" t="s">
        <v>22</v>
      </c>
    </row>
    <row r="32" spans="1:13" x14ac:dyDescent="0.3">
      <c r="A32" t="s">
        <v>70</v>
      </c>
      <c r="B32" s="4">
        <v>26068</v>
      </c>
      <c r="C32">
        <v>1971</v>
      </c>
      <c r="D32">
        <v>5</v>
      </c>
      <c r="E32" t="s">
        <v>25</v>
      </c>
      <c r="F32" t="s">
        <v>17</v>
      </c>
      <c r="G32" t="s">
        <v>18</v>
      </c>
      <c r="H32" t="s">
        <v>19</v>
      </c>
      <c r="I32" t="s">
        <v>45</v>
      </c>
      <c r="J32">
        <v>50</v>
      </c>
      <c r="K32" t="b">
        <f>FALSE()</f>
        <v>0</v>
      </c>
      <c r="L32" t="s">
        <v>21</v>
      </c>
      <c r="M32" t="s">
        <v>22</v>
      </c>
    </row>
    <row r="33" spans="1:13" x14ac:dyDescent="0.3">
      <c r="A33" t="s">
        <v>71</v>
      </c>
      <c r="B33" s="4">
        <v>26341</v>
      </c>
      <c r="C33">
        <v>1972</v>
      </c>
      <c r="D33">
        <v>2</v>
      </c>
      <c r="E33" t="s">
        <v>16</v>
      </c>
      <c r="F33" t="s">
        <v>58</v>
      </c>
      <c r="G33" t="s">
        <v>18</v>
      </c>
      <c r="H33" t="s">
        <v>59</v>
      </c>
      <c r="I33" t="s">
        <v>60</v>
      </c>
      <c r="J33">
        <v>70</v>
      </c>
      <c r="K33" t="b">
        <f>FALSE()</f>
        <v>0</v>
      </c>
      <c r="L33" t="s">
        <v>61</v>
      </c>
      <c r="M33" t="s">
        <v>22</v>
      </c>
    </row>
    <row r="34" spans="1:13" x14ac:dyDescent="0.3">
      <c r="A34" t="s">
        <v>72</v>
      </c>
      <c r="B34" s="4">
        <v>26344</v>
      </c>
      <c r="C34">
        <v>1972</v>
      </c>
      <c r="D34">
        <v>2</v>
      </c>
      <c r="E34" t="s">
        <v>16</v>
      </c>
      <c r="F34" t="s">
        <v>17</v>
      </c>
      <c r="G34" t="s">
        <v>18</v>
      </c>
      <c r="H34" t="s">
        <v>19</v>
      </c>
      <c r="I34" t="s">
        <v>45</v>
      </c>
      <c r="J34">
        <v>50</v>
      </c>
      <c r="K34" t="b">
        <f>FALSE()</f>
        <v>0</v>
      </c>
      <c r="L34" t="s">
        <v>21</v>
      </c>
      <c r="M34" t="s">
        <v>22</v>
      </c>
    </row>
    <row r="35" spans="1:13" x14ac:dyDescent="0.3">
      <c r="A35" t="s">
        <v>73</v>
      </c>
      <c r="B35" s="4">
        <v>26434</v>
      </c>
      <c r="C35">
        <v>1972</v>
      </c>
      <c r="D35">
        <v>5</v>
      </c>
      <c r="E35" t="s">
        <v>16</v>
      </c>
      <c r="F35" t="s">
        <v>17</v>
      </c>
      <c r="G35" t="s">
        <v>18</v>
      </c>
      <c r="H35" t="s">
        <v>19</v>
      </c>
      <c r="I35" t="s">
        <v>45</v>
      </c>
      <c r="J35">
        <v>50</v>
      </c>
      <c r="K35" t="b">
        <f>FALSE()</f>
        <v>0</v>
      </c>
      <c r="L35" t="s">
        <v>21</v>
      </c>
      <c r="M35" t="s">
        <v>22</v>
      </c>
    </row>
    <row r="36" spans="1:13" x14ac:dyDescent="0.3">
      <c r="A36" t="s">
        <v>74</v>
      </c>
      <c r="B36" s="4">
        <v>26640</v>
      </c>
      <c r="C36">
        <v>1972</v>
      </c>
      <c r="D36">
        <v>12</v>
      </c>
      <c r="E36" t="s">
        <v>16</v>
      </c>
      <c r="F36" t="s">
        <v>41</v>
      </c>
      <c r="G36" t="s">
        <v>18</v>
      </c>
      <c r="H36" t="s">
        <v>27</v>
      </c>
      <c r="I36" t="s">
        <v>52</v>
      </c>
      <c r="J36">
        <v>1230</v>
      </c>
      <c r="K36" t="b">
        <f>FALSE()</f>
        <v>0</v>
      </c>
      <c r="L36" t="s">
        <v>53</v>
      </c>
      <c r="M36" t="s">
        <v>22</v>
      </c>
    </row>
    <row r="37" spans="1:13" x14ac:dyDescent="0.3">
      <c r="A37" t="s">
        <v>75</v>
      </c>
      <c r="B37" s="4">
        <v>26707</v>
      </c>
      <c r="C37">
        <v>1973</v>
      </c>
      <c r="D37">
        <v>2</v>
      </c>
      <c r="E37" t="s">
        <v>16</v>
      </c>
      <c r="F37" t="s">
        <v>58</v>
      </c>
      <c r="G37" t="s">
        <v>18</v>
      </c>
      <c r="H37" t="s">
        <v>59</v>
      </c>
      <c r="I37" t="s">
        <v>60</v>
      </c>
      <c r="J37">
        <v>70</v>
      </c>
      <c r="K37" t="b">
        <f>FALSE()</f>
        <v>0</v>
      </c>
      <c r="L37" t="s">
        <v>61</v>
      </c>
      <c r="M37" t="s">
        <v>22</v>
      </c>
    </row>
    <row r="38" spans="1:13" x14ac:dyDescent="0.3">
      <c r="A38" t="s">
        <v>76</v>
      </c>
      <c r="B38" s="4">
        <v>26710</v>
      </c>
      <c r="C38">
        <v>1973</v>
      </c>
      <c r="D38">
        <v>2</v>
      </c>
      <c r="E38" t="s">
        <v>16</v>
      </c>
      <c r="F38" t="s">
        <v>17</v>
      </c>
      <c r="G38" t="s">
        <v>18</v>
      </c>
      <c r="H38" t="s">
        <v>19</v>
      </c>
      <c r="I38" t="s">
        <v>45</v>
      </c>
      <c r="J38">
        <v>50</v>
      </c>
      <c r="K38" t="b">
        <f>FALSE()</f>
        <v>0</v>
      </c>
      <c r="L38" t="s">
        <v>21</v>
      </c>
      <c r="M38" t="s">
        <v>22</v>
      </c>
    </row>
    <row r="39" spans="1:13" x14ac:dyDescent="0.3">
      <c r="A39" t="s">
        <v>77</v>
      </c>
      <c r="B39" s="4">
        <v>26798</v>
      </c>
      <c r="C39">
        <v>1973</v>
      </c>
      <c r="D39">
        <v>5</v>
      </c>
      <c r="E39" t="s">
        <v>16</v>
      </c>
      <c r="F39" t="s">
        <v>41</v>
      </c>
      <c r="G39" t="s">
        <v>18</v>
      </c>
      <c r="H39" t="s">
        <v>27</v>
      </c>
      <c r="I39" t="s">
        <v>52</v>
      </c>
      <c r="J39">
        <v>1230</v>
      </c>
      <c r="K39" t="b">
        <f>FALSE()</f>
        <v>0</v>
      </c>
      <c r="L39" t="s">
        <v>53</v>
      </c>
      <c r="M39" t="s">
        <v>22</v>
      </c>
    </row>
    <row r="40" spans="1:13" x14ac:dyDescent="0.3">
      <c r="A40" t="s">
        <v>78</v>
      </c>
      <c r="B40" s="4">
        <v>26799</v>
      </c>
      <c r="C40">
        <v>1973</v>
      </c>
      <c r="D40">
        <v>5</v>
      </c>
      <c r="E40" t="s">
        <v>16</v>
      </c>
      <c r="F40" t="s">
        <v>17</v>
      </c>
      <c r="G40" t="s">
        <v>18</v>
      </c>
      <c r="H40" t="s">
        <v>19</v>
      </c>
      <c r="I40" t="s">
        <v>45</v>
      </c>
      <c r="J40">
        <v>50</v>
      </c>
      <c r="K40" t="b">
        <f>FALSE()</f>
        <v>0</v>
      </c>
      <c r="L40" t="s">
        <v>21</v>
      </c>
      <c r="M40" t="s">
        <v>22</v>
      </c>
    </row>
    <row r="41" spans="1:13" x14ac:dyDescent="0.3">
      <c r="A41" t="s">
        <v>79</v>
      </c>
      <c r="B41" s="4">
        <v>27072</v>
      </c>
      <c r="C41">
        <v>1974</v>
      </c>
      <c r="D41">
        <v>2</v>
      </c>
      <c r="E41" t="s">
        <v>16</v>
      </c>
      <c r="F41" t="s">
        <v>58</v>
      </c>
      <c r="G41" t="s">
        <v>18</v>
      </c>
      <c r="H41" t="s">
        <v>59</v>
      </c>
      <c r="I41" t="s">
        <v>60</v>
      </c>
      <c r="J41">
        <v>70</v>
      </c>
      <c r="K41" t="b">
        <f>FALSE()</f>
        <v>0</v>
      </c>
      <c r="L41" t="s">
        <v>61</v>
      </c>
      <c r="M41" t="s">
        <v>22</v>
      </c>
    </row>
    <row r="42" spans="1:13" x14ac:dyDescent="0.3">
      <c r="A42" t="s">
        <v>80</v>
      </c>
      <c r="B42" s="4">
        <v>27075</v>
      </c>
      <c r="C42">
        <v>1974</v>
      </c>
      <c r="D42">
        <v>2</v>
      </c>
      <c r="E42" t="s">
        <v>16</v>
      </c>
      <c r="F42" t="s">
        <v>17</v>
      </c>
      <c r="G42" t="s">
        <v>18</v>
      </c>
      <c r="H42" t="s">
        <v>19</v>
      </c>
      <c r="I42" t="s">
        <v>45</v>
      </c>
      <c r="J42">
        <v>50</v>
      </c>
      <c r="K42" t="b">
        <f>FALSE()</f>
        <v>0</v>
      </c>
      <c r="L42" t="s">
        <v>21</v>
      </c>
      <c r="M42" t="s">
        <v>22</v>
      </c>
    </row>
    <row r="43" spans="1:13" x14ac:dyDescent="0.3">
      <c r="A43" t="s">
        <v>81</v>
      </c>
      <c r="B43" s="4">
        <v>27164</v>
      </c>
      <c r="C43">
        <v>1974</v>
      </c>
      <c r="D43">
        <v>5</v>
      </c>
      <c r="E43" t="s">
        <v>16</v>
      </c>
      <c r="F43" t="s">
        <v>17</v>
      </c>
      <c r="G43" t="s">
        <v>18</v>
      </c>
      <c r="H43" t="s">
        <v>19</v>
      </c>
      <c r="I43" t="s">
        <v>45</v>
      </c>
      <c r="J43">
        <v>50</v>
      </c>
      <c r="K43" t="b">
        <f>FALSE()</f>
        <v>0</v>
      </c>
      <c r="L43" t="s">
        <v>21</v>
      </c>
      <c r="M43" t="s">
        <v>22</v>
      </c>
    </row>
    <row r="44" spans="1:13" x14ac:dyDescent="0.3">
      <c r="A44" t="s">
        <v>82</v>
      </c>
      <c r="B44" s="4">
        <v>27437</v>
      </c>
      <c r="C44">
        <v>1975</v>
      </c>
      <c r="D44">
        <v>2</v>
      </c>
      <c r="E44" t="s">
        <v>16</v>
      </c>
      <c r="F44" t="s">
        <v>58</v>
      </c>
      <c r="G44" t="s">
        <v>18</v>
      </c>
      <c r="H44" t="s">
        <v>59</v>
      </c>
      <c r="I44" t="s">
        <v>60</v>
      </c>
      <c r="J44">
        <v>70</v>
      </c>
      <c r="K44" t="b">
        <f>FALSE()</f>
        <v>0</v>
      </c>
      <c r="L44" t="s">
        <v>61</v>
      </c>
      <c r="M44" t="s">
        <v>22</v>
      </c>
    </row>
    <row r="45" spans="1:13" x14ac:dyDescent="0.3">
      <c r="A45" t="s">
        <v>83</v>
      </c>
      <c r="B45" s="4">
        <v>27440</v>
      </c>
      <c r="C45">
        <v>1975</v>
      </c>
      <c r="D45">
        <v>2</v>
      </c>
      <c r="E45" t="s">
        <v>16</v>
      </c>
      <c r="F45" t="s">
        <v>17</v>
      </c>
      <c r="G45" t="s">
        <v>18</v>
      </c>
      <c r="H45" t="s">
        <v>19</v>
      </c>
      <c r="I45" t="s">
        <v>45</v>
      </c>
      <c r="J45">
        <v>50</v>
      </c>
      <c r="K45" t="b">
        <f>FALSE()</f>
        <v>0</v>
      </c>
      <c r="L45" t="s">
        <v>21</v>
      </c>
      <c r="M45" t="s">
        <v>22</v>
      </c>
    </row>
    <row r="46" spans="1:13" x14ac:dyDescent="0.3">
      <c r="A46" t="s">
        <v>84</v>
      </c>
      <c r="B46" s="4">
        <v>27529</v>
      </c>
      <c r="C46">
        <v>1975</v>
      </c>
      <c r="D46">
        <v>5</v>
      </c>
      <c r="E46" t="s">
        <v>16</v>
      </c>
      <c r="F46" t="s">
        <v>17</v>
      </c>
      <c r="G46" t="s">
        <v>18</v>
      </c>
      <c r="H46" t="s">
        <v>19</v>
      </c>
      <c r="I46" t="s">
        <v>45</v>
      </c>
      <c r="J46">
        <v>50</v>
      </c>
      <c r="K46" t="b">
        <f>FALSE()</f>
        <v>0</v>
      </c>
      <c r="L46" t="s">
        <v>21</v>
      </c>
      <c r="M46" t="s">
        <v>22</v>
      </c>
    </row>
    <row r="47" spans="1:13" x14ac:dyDescent="0.3">
      <c r="A47" t="s">
        <v>85</v>
      </c>
      <c r="B47" s="4">
        <v>27621</v>
      </c>
      <c r="C47">
        <v>1975</v>
      </c>
      <c r="D47">
        <v>8</v>
      </c>
      <c r="E47" t="s">
        <v>16</v>
      </c>
      <c r="F47" t="s">
        <v>17</v>
      </c>
      <c r="G47" t="s">
        <v>18</v>
      </c>
      <c r="H47" t="s">
        <v>19</v>
      </c>
      <c r="I47" t="s">
        <v>45</v>
      </c>
      <c r="J47">
        <v>50</v>
      </c>
      <c r="K47" t="b">
        <f>FALSE()</f>
        <v>0</v>
      </c>
      <c r="L47" t="s">
        <v>21</v>
      </c>
      <c r="M47" t="s">
        <v>22</v>
      </c>
    </row>
    <row r="48" spans="1:13" x14ac:dyDescent="0.3">
      <c r="A48" t="s">
        <v>86</v>
      </c>
      <c r="B48" s="4">
        <v>27713</v>
      </c>
      <c r="C48">
        <v>1975</v>
      </c>
      <c r="D48">
        <v>11</v>
      </c>
      <c r="E48" t="s">
        <v>16</v>
      </c>
      <c r="F48" t="s">
        <v>17</v>
      </c>
      <c r="G48" t="s">
        <v>18</v>
      </c>
      <c r="H48" t="s">
        <v>19</v>
      </c>
      <c r="I48" t="s">
        <v>45</v>
      </c>
      <c r="J48">
        <v>50</v>
      </c>
      <c r="K48" t="b">
        <f>FALSE()</f>
        <v>0</v>
      </c>
      <c r="L48" t="s">
        <v>21</v>
      </c>
      <c r="M48" t="s">
        <v>22</v>
      </c>
    </row>
    <row r="49" spans="1:13" x14ac:dyDescent="0.3">
      <c r="A49" t="s">
        <v>87</v>
      </c>
      <c r="B49" s="4">
        <v>27802</v>
      </c>
      <c r="C49">
        <v>1976</v>
      </c>
      <c r="D49">
        <v>2</v>
      </c>
      <c r="E49" t="s">
        <v>16</v>
      </c>
      <c r="F49" t="s">
        <v>58</v>
      </c>
      <c r="G49" t="s">
        <v>18</v>
      </c>
      <c r="H49" t="s">
        <v>59</v>
      </c>
      <c r="I49" t="s">
        <v>60</v>
      </c>
      <c r="J49">
        <v>70</v>
      </c>
      <c r="K49" t="b">
        <f>FALSE()</f>
        <v>0</v>
      </c>
      <c r="L49" t="s">
        <v>61</v>
      </c>
      <c r="M49" t="s">
        <v>22</v>
      </c>
    </row>
    <row r="50" spans="1:13" x14ac:dyDescent="0.3">
      <c r="A50" t="s">
        <v>88</v>
      </c>
      <c r="B50" s="4">
        <v>27805</v>
      </c>
      <c r="C50">
        <v>1976</v>
      </c>
      <c r="D50">
        <v>2</v>
      </c>
      <c r="E50" t="s">
        <v>16</v>
      </c>
      <c r="F50" t="s">
        <v>17</v>
      </c>
      <c r="G50" t="s">
        <v>18</v>
      </c>
      <c r="H50" t="s">
        <v>19</v>
      </c>
      <c r="I50" t="s">
        <v>45</v>
      </c>
      <c r="J50">
        <v>50</v>
      </c>
      <c r="K50" t="b">
        <f>FALSE()</f>
        <v>0</v>
      </c>
      <c r="L50" t="s">
        <v>21</v>
      </c>
      <c r="M50" t="s">
        <v>22</v>
      </c>
    </row>
    <row r="51" spans="1:13" x14ac:dyDescent="0.3">
      <c r="A51" t="s">
        <v>89</v>
      </c>
      <c r="B51" s="4">
        <v>27895</v>
      </c>
      <c r="C51">
        <v>1976</v>
      </c>
      <c r="D51">
        <v>5</v>
      </c>
      <c r="E51" t="s">
        <v>16</v>
      </c>
      <c r="F51" t="s">
        <v>17</v>
      </c>
      <c r="G51" t="s">
        <v>18</v>
      </c>
      <c r="H51" t="s">
        <v>19</v>
      </c>
      <c r="I51" t="s">
        <v>45</v>
      </c>
      <c r="J51">
        <v>50</v>
      </c>
      <c r="K51" t="b">
        <f>FALSE()</f>
        <v>0</v>
      </c>
      <c r="L51" t="s">
        <v>21</v>
      </c>
      <c r="M51" t="s">
        <v>22</v>
      </c>
    </row>
    <row r="52" spans="1:13" x14ac:dyDescent="0.3">
      <c r="A52" t="s">
        <v>90</v>
      </c>
      <c r="B52" s="4">
        <v>27987</v>
      </c>
      <c r="C52">
        <v>1976</v>
      </c>
      <c r="D52">
        <v>8</v>
      </c>
      <c r="E52" t="s">
        <v>16</v>
      </c>
      <c r="F52" t="s">
        <v>17</v>
      </c>
      <c r="G52" t="s">
        <v>18</v>
      </c>
      <c r="H52" t="s">
        <v>19</v>
      </c>
      <c r="I52" t="s">
        <v>45</v>
      </c>
      <c r="J52">
        <v>50</v>
      </c>
      <c r="K52" t="b">
        <f>FALSE()</f>
        <v>0</v>
      </c>
      <c r="L52" t="s">
        <v>21</v>
      </c>
      <c r="M52" t="s">
        <v>22</v>
      </c>
    </row>
    <row r="53" spans="1:13" x14ac:dyDescent="0.3">
      <c r="A53" t="s">
        <v>91</v>
      </c>
      <c r="B53" s="4">
        <v>28079</v>
      </c>
      <c r="C53">
        <v>1976</v>
      </c>
      <c r="D53">
        <v>11</v>
      </c>
      <c r="E53" t="s">
        <v>16</v>
      </c>
      <c r="F53" t="s">
        <v>17</v>
      </c>
      <c r="G53" t="s">
        <v>18</v>
      </c>
      <c r="H53" t="s">
        <v>19</v>
      </c>
      <c r="I53" t="s">
        <v>45</v>
      </c>
      <c r="J53">
        <v>50</v>
      </c>
      <c r="K53" t="b">
        <f>FALSE()</f>
        <v>0</v>
      </c>
      <c r="L53" t="s">
        <v>21</v>
      </c>
      <c r="M53" t="s">
        <v>22</v>
      </c>
    </row>
    <row r="54" spans="1:13" x14ac:dyDescent="0.3">
      <c r="A54" t="s">
        <v>92</v>
      </c>
      <c r="B54" s="4">
        <v>28168</v>
      </c>
      <c r="C54">
        <v>1977</v>
      </c>
      <c r="D54">
        <v>2</v>
      </c>
      <c r="E54" t="s">
        <v>16</v>
      </c>
      <c r="F54" t="s">
        <v>58</v>
      </c>
      <c r="G54" t="s">
        <v>18</v>
      </c>
      <c r="H54" t="s">
        <v>59</v>
      </c>
      <c r="I54" t="s">
        <v>60</v>
      </c>
      <c r="J54">
        <v>70</v>
      </c>
      <c r="K54" t="b">
        <f>FALSE()</f>
        <v>0</v>
      </c>
      <c r="L54" t="s">
        <v>61</v>
      </c>
      <c r="M54" t="s">
        <v>22</v>
      </c>
    </row>
    <row r="55" spans="1:13" x14ac:dyDescent="0.3">
      <c r="A55" t="s">
        <v>93</v>
      </c>
      <c r="B55" s="4">
        <v>28171</v>
      </c>
      <c r="C55">
        <v>1977</v>
      </c>
      <c r="D55">
        <v>2</v>
      </c>
      <c r="E55" t="s">
        <v>16</v>
      </c>
      <c r="F55" t="s">
        <v>17</v>
      </c>
      <c r="G55" t="s">
        <v>18</v>
      </c>
      <c r="H55" t="s">
        <v>19</v>
      </c>
      <c r="I55" t="s">
        <v>45</v>
      </c>
      <c r="J55">
        <v>50</v>
      </c>
      <c r="K55" t="b">
        <f>FALSE()</f>
        <v>0</v>
      </c>
      <c r="L55" t="s">
        <v>21</v>
      </c>
      <c r="M55" t="s">
        <v>22</v>
      </c>
    </row>
    <row r="56" spans="1:13" x14ac:dyDescent="0.3">
      <c r="A56" t="s">
        <v>94</v>
      </c>
      <c r="B56" s="4">
        <v>28260</v>
      </c>
      <c r="C56">
        <v>1977</v>
      </c>
      <c r="D56">
        <v>5</v>
      </c>
      <c r="E56" t="s">
        <v>16</v>
      </c>
      <c r="F56" t="s">
        <v>17</v>
      </c>
      <c r="G56" t="s">
        <v>18</v>
      </c>
      <c r="H56" t="s">
        <v>19</v>
      </c>
      <c r="I56" t="s">
        <v>45</v>
      </c>
      <c r="J56">
        <v>50</v>
      </c>
      <c r="K56" t="b">
        <f>FALSE()</f>
        <v>0</v>
      </c>
      <c r="L56" t="s">
        <v>21</v>
      </c>
      <c r="M56" t="s">
        <v>22</v>
      </c>
    </row>
    <row r="57" spans="1:13" x14ac:dyDescent="0.3">
      <c r="A57" t="s">
        <v>95</v>
      </c>
      <c r="B57" s="4">
        <v>28352</v>
      </c>
      <c r="C57">
        <v>1977</v>
      </c>
      <c r="D57">
        <v>8</v>
      </c>
      <c r="E57" t="s">
        <v>16</v>
      </c>
      <c r="F57" t="s">
        <v>17</v>
      </c>
      <c r="G57" t="s">
        <v>18</v>
      </c>
      <c r="H57" t="s">
        <v>19</v>
      </c>
      <c r="I57" t="s">
        <v>45</v>
      </c>
      <c r="J57">
        <v>50</v>
      </c>
      <c r="K57" t="b">
        <f>FALSE()</f>
        <v>0</v>
      </c>
      <c r="L57" t="s">
        <v>21</v>
      </c>
      <c r="M57" t="s">
        <v>22</v>
      </c>
    </row>
    <row r="58" spans="1:13" x14ac:dyDescent="0.3">
      <c r="A58" t="s">
        <v>96</v>
      </c>
      <c r="B58" s="4">
        <v>28357</v>
      </c>
      <c r="C58">
        <v>1977</v>
      </c>
      <c r="D58">
        <v>8</v>
      </c>
      <c r="E58" t="s">
        <v>16</v>
      </c>
      <c r="F58" t="s">
        <v>41</v>
      </c>
      <c r="G58" t="s">
        <v>18</v>
      </c>
      <c r="H58" t="s">
        <v>27</v>
      </c>
      <c r="I58" t="s">
        <v>97</v>
      </c>
      <c r="J58">
        <v>211</v>
      </c>
      <c r="K58" t="b">
        <f>FALSE()</f>
        <v>0</v>
      </c>
      <c r="L58" t="s">
        <v>29</v>
      </c>
      <c r="M58" t="s">
        <v>22</v>
      </c>
    </row>
    <row r="59" spans="1:13" x14ac:dyDescent="0.3">
      <c r="A59" t="s">
        <v>98</v>
      </c>
      <c r="B59" s="4">
        <v>28373</v>
      </c>
      <c r="C59">
        <v>1977</v>
      </c>
      <c r="D59">
        <v>9</v>
      </c>
      <c r="E59" t="s">
        <v>16</v>
      </c>
      <c r="F59" t="s">
        <v>41</v>
      </c>
      <c r="G59" t="s">
        <v>18</v>
      </c>
      <c r="H59" t="s">
        <v>27</v>
      </c>
      <c r="I59" t="s">
        <v>97</v>
      </c>
      <c r="J59">
        <v>211</v>
      </c>
      <c r="K59" t="b">
        <f>FALSE()</f>
        <v>0</v>
      </c>
      <c r="L59" t="s">
        <v>29</v>
      </c>
      <c r="M59" t="s">
        <v>22</v>
      </c>
    </row>
    <row r="60" spans="1:13" x14ac:dyDescent="0.3">
      <c r="A60" t="s">
        <v>99</v>
      </c>
      <c r="B60" s="4">
        <v>28444</v>
      </c>
      <c r="C60">
        <v>1977</v>
      </c>
      <c r="D60">
        <v>11</v>
      </c>
      <c r="E60" t="s">
        <v>16</v>
      </c>
      <c r="F60" t="s">
        <v>17</v>
      </c>
      <c r="G60" t="s">
        <v>18</v>
      </c>
      <c r="H60" t="s">
        <v>19</v>
      </c>
      <c r="I60" t="s">
        <v>45</v>
      </c>
      <c r="J60">
        <v>50</v>
      </c>
      <c r="K60" t="b">
        <f>FALSE()</f>
        <v>0</v>
      </c>
      <c r="L60" t="s">
        <v>21</v>
      </c>
      <c r="M60" t="s">
        <v>22</v>
      </c>
    </row>
    <row r="61" spans="1:13" x14ac:dyDescent="0.3">
      <c r="A61" t="s">
        <v>100</v>
      </c>
      <c r="B61" s="4">
        <v>28531</v>
      </c>
      <c r="C61">
        <v>1978</v>
      </c>
      <c r="D61">
        <v>2</v>
      </c>
      <c r="E61" t="s">
        <v>16</v>
      </c>
      <c r="F61" t="s">
        <v>17</v>
      </c>
      <c r="G61" t="s">
        <v>18</v>
      </c>
      <c r="H61" t="s">
        <v>19</v>
      </c>
      <c r="I61" t="s">
        <v>45</v>
      </c>
      <c r="J61">
        <v>50</v>
      </c>
      <c r="K61" t="b">
        <f>FALSE()</f>
        <v>0</v>
      </c>
      <c r="L61" t="s">
        <v>21</v>
      </c>
      <c r="M61" t="s">
        <v>22</v>
      </c>
    </row>
    <row r="62" spans="1:13" x14ac:dyDescent="0.3">
      <c r="A62" t="s">
        <v>101</v>
      </c>
      <c r="B62" s="4">
        <v>28533</v>
      </c>
      <c r="C62">
        <v>1978</v>
      </c>
      <c r="D62">
        <v>2</v>
      </c>
      <c r="E62" t="s">
        <v>16</v>
      </c>
      <c r="F62" t="s">
        <v>58</v>
      </c>
      <c r="G62" t="s">
        <v>18</v>
      </c>
      <c r="H62" t="s">
        <v>59</v>
      </c>
      <c r="I62" t="s">
        <v>60</v>
      </c>
      <c r="J62">
        <v>70</v>
      </c>
      <c r="K62" t="b">
        <f>FALSE()</f>
        <v>0</v>
      </c>
      <c r="L62" t="s">
        <v>61</v>
      </c>
      <c r="M62" t="s">
        <v>22</v>
      </c>
    </row>
    <row r="63" spans="1:13" x14ac:dyDescent="0.3">
      <c r="A63" t="s">
        <v>102</v>
      </c>
      <c r="B63" s="4">
        <v>28536</v>
      </c>
      <c r="C63">
        <v>1978</v>
      </c>
      <c r="D63">
        <v>2</v>
      </c>
      <c r="E63" t="s">
        <v>16</v>
      </c>
      <c r="F63" t="s">
        <v>17</v>
      </c>
      <c r="G63" t="s">
        <v>18</v>
      </c>
      <c r="H63" t="s">
        <v>19</v>
      </c>
      <c r="I63" t="s">
        <v>45</v>
      </c>
      <c r="J63">
        <v>50</v>
      </c>
      <c r="K63" t="b">
        <f>FALSE()</f>
        <v>0</v>
      </c>
      <c r="L63" t="s">
        <v>21</v>
      </c>
      <c r="M63" t="s">
        <v>22</v>
      </c>
    </row>
    <row r="64" spans="1:13" x14ac:dyDescent="0.3">
      <c r="A64" t="s">
        <v>103</v>
      </c>
      <c r="B64" s="4">
        <v>28564</v>
      </c>
      <c r="C64">
        <v>1978</v>
      </c>
      <c r="D64">
        <v>3</v>
      </c>
      <c r="E64" t="s">
        <v>16</v>
      </c>
      <c r="F64" t="s">
        <v>41</v>
      </c>
      <c r="G64" t="s">
        <v>18</v>
      </c>
      <c r="H64" t="s">
        <v>27</v>
      </c>
      <c r="I64" t="s">
        <v>104</v>
      </c>
      <c r="J64">
        <v>50</v>
      </c>
      <c r="K64" t="b">
        <f>FALSE()</f>
        <v>0</v>
      </c>
      <c r="L64" t="s">
        <v>29</v>
      </c>
      <c r="M64" t="s">
        <v>22</v>
      </c>
    </row>
    <row r="65" spans="1:13" x14ac:dyDescent="0.3">
      <c r="A65" t="s">
        <v>105</v>
      </c>
      <c r="B65" s="4">
        <v>28625</v>
      </c>
      <c r="C65">
        <v>1978</v>
      </c>
      <c r="D65">
        <v>5</v>
      </c>
      <c r="E65" t="s">
        <v>16</v>
      </c>
      <c r="F65" t="s">
        <v>17</v>
      </c>
      <c r="G65" t="s">
        <v>18</v>
      </c>
      <c r="H65" t="s">
        <v>19</v>
      </c>
      <c r="I65" t="s">
        <v>45</v>
      </c>
      <c r="J65">
        <v>50</v>
      </c>
      <c r="K65" t="b">
        <f>FALSE()</f>
        <v>0</v>
      </c>
      <c r="L65" t="s">
        <v>21</v>
      </c>
      <c r="M65" t="s">
        <v>22</v>
      </c>
    </row>
    <row r="66" spans="1:13" x14ac:dyDescent="0.3">
      <c r="A66" t="s">
        <v>106</v>
      </c>
      <c r="B66" s="4">
        <v>28651</v>
      </c>
      <c r="C66">
        <v>1978</v>
      </c>
      <c r="D66">
        <v>6</v>
      </c>
      <c r="E66" t="s">
        <v>16</v>
      </c>
      <c r="F66" t="s">
        <v>17</v>
      </c>
      <c r="G66" t="s">
        <v>18</v>
      </c>
      <c r="H66" t="s">
        <v>19</v>
      </c>
      <c r="I66" t="s">
        <v>45</v>
      </c>
      <c r="J66">
        <v>50</v>
      </c>
      <c r="K66" t="b">
        <f>FALSE()</f>
        <v>0</v>
      </c>
      <c r="L66" t="s">
        <v>21</v>
      </c>
      <c r="M66" t="s">
        <v>22</v>
      </c>
    </row>
    <row r="67" spans="1:13" x14ac:dyDescent="0.3">
      <c r="A67" t="s">
        <v>107</v>
      </c>
      <c r="B67" s="4">
        <v>28717</v>
      </c>
      <c r="C67">
        <v>1978</v>
      </c>
      <c r="D67">
        <v>8</v>
      </c>
      <c r="E67" t="s">
        <v>16</v>
      </c>
      <c r="F67" t="s">
        <v>17</v>
      </c>
      <c r="G67" t="s">
        <v>18</v>
      </c>
      <c r="H67" t="s">
        <v>19</v>
      </c>
      <c r="I67" t="s">
        <v>45</v>
      </c>
      <c r="J67">
        <v>50</v>
      </c>
      <c r="K67" t="b">
        <f>FALSE()</f>
        <v>0</v>
      </c>
      <c r="L67" t="s">
        <v>21</v>
      </c>
      <c r="M67" t="s">
        <v>22</v>
      </c>
    </row>
    <row r="68" spans="1:13" x14ac:dyDescent="0.3">
      <c r="A68" t="s">
        <v>108</v>
      </c>
      <c r="B68" s="4">
        <v>28809</v>
      </c>
      <c r="C68">
        <v>1978</v>
      </c>
      <c r="D68">
        <v>11</v>
      </c>
      <c r="E68" t="s">
        <v>16</v>
      </c>
      <c r="F68" t="s">
        <v>17</v>
      </c>
      <c r="G68" t="s">
        <v>18</v>
      </c>
      <c r="H68" t="s">
        <v>19</v>
      </c>
      <c r="I68" t="s">
        <v>45</v>
      </c>
      <c r="J68">
        <v>50</v>
      </c>
      <c r="K68" t="b">
        <f>FALSE()</f>
        <v>0</v>
      </c>
      <c r="L68" t="s">
        <v>21</v>
      </c>
      <c r="M68" t="s">
        <v>22</v>
      </c>
    </row>
    <row r="69" spans="1:13" x14ac:dyDescent="0.3">
      <c r="A69" t="s">
        <v>109</v>
      </c>
      <c r="B69" s="4">
        <v>28896</v>
      </c>
      <c r="C69">
        <v>1979</v>
      </c>
      <c r="D69">
        <v>2</v>
      </c>
      <c r="E69" t="s">
        <v>16</v>
      </c>
      <c r="F69" t="s">
        <v>17</v>
      </c>
      <c r="G69" t="s">
        <v>18</v>
      </c>
      <c r="H69" t="s">
        <v>19</v>
      </c>
      <c r="I69" t="s">
        <v>45</v>
      </c>
      <c r="J69">
        <v>50</v>
      </c>
      <c r="K69" t="b">
        <f>FALSE()</f>
        <v>0</v>
      </c>
      <c r="L69" t="s">
        <v>21</v>
      </c>
      <c r="M69" t="s">
        <v>22</v>
      </c>
    </row>
    <row r="70" spans="1:13" x14ac:dyDescent="0.3">
      <c r="A70" t="s">
        <v>110</v>
      </c>
      <c r="B70" s="4">
        <v>28898</v>
      </c>
      <c r="C70">
        <v>1979</v>
      </c>
      <c r="D70">
        <v>2</v>
      </c>
      <c r="E70" t="s">
        <v>16</v>
      </c>
      <c r="F70" t="s">
        <v>58</v>
      </c>
      <c r="G70" t="s">
        <v>18</v>
      </c>
      <c r="H70" t="s">
        <v>59</v>
      </c>
      <c r="I70" t="s">
        <v>60</v>
      </c>
      <c r="J70">
        <v>70</v>
      </c>
      <c r="K70" t="b">
        <f>FALSE()</f>
        <v>0</v>
      </c>
      <c r="L70" t="s">
        <v>61</v>
      </c>
      <c r="M70" t="s">
        <v>22</v>
      </c>
    </row>
    <row r="71" spans="1:13" x14ac:dyDescent="0.3">
      <c r="A71" t="s">
        <v>111</v>
      </c>
      <c r="B71" s="4">
        <v>28901</v>
      </c>
      <c r="C71">
        <v>1979</v>
      </c>
      <c r="D71">
        <v>2</v>
      </c>
      <c r="E71" t="s">
        <v>16</v>
      </c>
      <c r="F71" t="s">
        <v>17</v>
      </c>
      <c r="G71" t="s">
        <v>18</v>
      </c>
      <c r="H71" t="s">
        <v>19</v>
      </c>
      <c r="I71" t="s">
        <v>45</v>
      </c>
      <c r="J71">
        <v>50</v>
      </c>
      <c r="K71" t="b">
        <f>FALSE()</f>
        <v>0</v>
      </c>
      <c r="L71" t="s">
        <v>21</v>
      </c>
      <c r="M71" t="s">
        <v>22</v>
      </c>
    </row>
    <row r="72" spans="1:13" x14ac:dyDescent="0.3">
      <c r="A72" t="s">
        <v>112</v>
      </c>
      <c r="B72" s="4">
        <v>28929</v>
      </c>
      <c r="C72">
        <v>1979</v>
      </c>
      <c r="D72">
        <v>3</v>
      </c>
      <c r="E72" t="s">
        <v>16</v>
      </c>
      <c r="F72" t="s">
        <v>41</v>
      </c>
      <c r="G72" t="s">
        <v>18</v>
      </c>
      <c r="H72" t="s">
        <v>27</v>
      </c>
      <c r="I72" t="s">
        <v>104</v>
      </c>
      <c r="J72">
        <v>50</v>
      </c>
      <c r="K72" t="b">
        <f>FALSE()</f>
        <v>0</v>
      </c>
      <c r="L72" t="s">
        <v>29</v>
      </c>
      <c r="M72" t="s">
        <v>22</v>
      </c>
    </row>
    <row r="73" spans="1:13" x14ac:dyDescent="0.3">
      <c r="A73" t="s">
        <v>113</v>
      </c>
      <c r="B73" s="4">
        <v>28990</v>
      </c>
      <c r="C73">
        <v>1979</v>
      </c>
      <c r="D73">
        <v>5</v>
      </c>
      <c r="E73" t="s">
        <v>16</v>
      </c>
      <c r="F73" t="s">
        <v>17</v>
      </c>
      <c r="G73" t="s">
        <v>18</v>
      </c>
      <c r="H73" t="s">
        <v>19</v>
      </c>
      <c r="I73" t="s">
        <v>45</v>
      </c>
      <c r="J73">
        <v>50</v>
      </c>
      <c r="K73" t="b">
        <f>FALSE()</f>
        <v>0</v>
      </c>
      <c r="L73" t="s">
        <v>21</v>
      </c>
      <c r="M73" t="s">
        <v>22</v>
      </c>
    </row>
    <row r="74" spans="1:13" x14ac:dyDescent="0.3">
      <c r="A74" t="s">
        <v>114</v>
      </c>
      <c r="B74" s="4">
        <v>29016</v>
      </c>
      <c r="C74">
        <v>1979</v>
      </c>
      <c r="D74">
        <v>6</v>
      </c>
      <c r="E74" t="s">
        <v>16</v>
      </c>
      <c r="F74" t="s">
        <v>17</v>
      </c>
      <c r="G74" t="s">
        <v>18</v>
      </c>
      <c r="H74" t="s">
        <v>19</v>
      </c>
      <c r="I74" t="s">
        <v>45</v>
      </c>
      <c r="J74">
        <v>50</v>
      </c>
      <c r="K74" t="b">
        <f>FALSE()</f>
        <v>0</v>
      </c>
      <c r="L74" t="s">
        <v>21</v>
      </c>
      <c r="M74" t="s">
        <v>22</v>
      </c>
    </row>
    <row r="75" spans="1:13" x14ac:dyDescent="0.3">
      <c r="A75" t="s">
        <v>115</v>
      </c>
      <c r="B75" s="4">
        <v>29082</v>
      </c>
      <c r="C75">
        <v>1979</v>
      </c>
      <c r="D75">
        <v>8</v>
      </c>
      <c r="E75" t="s">
        <v>16</v>
      </c>
      <c r="F75" t="s">
        <v>17</v>
      </c>
      <c r="G75" t="s">
        <v>18</v>
      </c>
      <c r="H75" t="s">
        <v>19</v>
      </c>
      <c r="I75" t="s">
        <v>45</v>
      </c>
      <c r="J75">
        <v>50</v>
      </c>
      <c r="K75" t="b">
        <f>FALSE()</f>
        <v>0</v>
      </c>
      <c r="L75" t="s">
        <v>21</v>
      </c>
      <c r="M75" t="s">
        <v>22</v>
      </c>
    </row>
    <row r="76" spans="1:13" x14ac:dyDescent="0.3">
      <c r="A76" t="s">
        <v>116</v>
      </c>
      <c r="B76" s="4">
        <v>29174</v>
      </c>
      <c r="C76">
        <v>1979</v>
      </c>
      <c r="D76">
        <v>11</v>
      </c>
      <c r="E76" t="s">
        <v>16</v>
      </c>
      <c r="F76" t="s">
        <v>17</v>
      </c>
      <c r="G76" t="s">
        <v>18</v>
      </c>
      <c r="H76" t="s">
        <v>19</v>
      </c>
      <c r="I76" t="s">
        <v>45</v>
      </c>
      <c r="J76">
        <v>50</v>
      </c>
      <c r="K76" t="b">
        <f>FALSE()</f>
        <v>0</v>
      </c>
      <c r="L76" t="s">
        <v>21</v>
      </c>
      <c r="M76" t="s">
        <v>22</v>
      </c>
    </row>
    <row r="77" spans="1:13" x14ac:dyDescent="0.3">
      <c r="A77" t="s">
        <v>117</v>
      </c>
      <c r="B77" s="4">
        <v>29213</v>
      </c>
      <c r="C77">
        <v>1979</v>
      </c>
      <c r="D77">
        <v>12</v>
      </c>
      <c r="E77" t="s">
        <v>16</v>
      </c>
      <c r="F77" t="s">
        <v>118</v>
      </c>
      <c r="G77" t="s">
        <v>119</v>
      </c>
      <c r="H77" t="s">
        <v>120</v>
      </c>
      <c r="I77" t="s">
        <v>121</v>
      </c>
      <c r="J77">
        <v>30</v>
      </c>
      <c r="K77" t="b">
        <f>FALSE()</f>
        <v>0</v>
      </c>
      <c r="L77" t="s">
        <v>122</v>
      </c>
      <c r="M77" t="s">
        <v>22</v>
      </c>
    </row>
    <row r="78" spans="1:13" x14ac:dyDescent="0.3">
      <c r="A78" t="s">
        <v>123</v>
      </c>
      <c r="B78" s="4">
        <v>29261</v>
      </c>
      <c r="C78">
        <v>1980</v>
      </c>
      <c r="D78">
        <v>2</v>
      </c>
      <c r="E78" t="s">
        <v>16</v>
      </c>
      <c r="F78" t="s">
        <v>17</v>
      </c>
      <c r="G78" t="s">
        <v>18</v>
      </c>
      <c r="H78" t="s">
        <v>19</v>
      </c>
      <c r="I78" t="s">
        <v>45</v>
      </c>
      <c r="J78">
        <v>50</v>
      </c>
      <c r="K78" t="b">
        <f>FALSE()</f>
        <v>0</v>
      </c>
      <c r="L78" t="s">
        <v>21</v>
      </c>
      <c r="M78" t="s">
        <v>22</v>
      </c>
    </row>
    <row r="79" spans="1:13" x14ac:dyDescent="0.3">
      <c r="A79" t="s">
        <v>124</v>
      </c>
      <c r="B79" s="4">
        <v>29263</v>
      </c>
      <c r="C79">
        <v>1980</v>
      </c>
      <c r="D79">
        <v>2</v>
      </c>
      <c r="E79" t="s">
        <v>16</v>
      </c>
      <c r="F79" t="s">
        <v>58</v>
      </c>
      <c r="G79" t="s">
        <v>18</v>
      </c>
      <c r="H79" t="s">
        <v>59</v>
      </c>
      <c r="I79" t="s">
        <v>60</v>
      </c>
      <c r="J79">
        <v>70</v>
      </c>
      <c r="K79" t="b">
        <f>FALSE()</f>
        <v>0</v>
      </c>
      <c r="L79" t="s">
        <v>61</v>
      </c>
      <c r="M79" t="s">
        <v>22</v>
      </c>
    </row>
    <row r="80" spans="1:13" x14ac:dyDescent="0.3">
      <c r="A80" t="s">
        <v>125</v>
      </c>
      <c r="B80" s="4">
        <v>29266</v>
      </c>
      <c r="C80">
        <v>1980</v>
      </c>
      <c r="D80">
        <v>2</v>
      </c>
      <c r="E80" t="s">
        <v>16</v>
      </c>
      <c r="F80" t="s">
        <v>17</v>
      </c>
      <c r="G80" t="s">
        <v>18</v>
      </c>
      <c r="H80" t="s">
        <v>19</v>
      </c>
      <c r="I80" t="s">
        <v>45</v>
      </c>
      <c r="J80">
        <v>50</v>
      </c>
      <c r="K80" t="b">
        <f>FALSE()</f>
        <v>0</v>
      </c>
      <c r="L80" t="s">
        <v>21</v>
      </c>
      <c r="M80" t="s">
        <v>22</v>
      </c>
    </row>
    <row r="81" spans="1:13" x14ac:dyDescent="0.3">
      <c r="A81" t="s">
        <v>126</v>
      </c>
      <c r="B81" s="4">
        <v>29295</v>
      </c>
      <c r="C81">
        <v>1980</v>
      </c>
      <c r="D81">
        <v>3</v>
      </c>
      <c r="E81" t="s">
        <v>16</v>
      </c>
      <c r="F81" t="s">
        <v>41</v>
      </c>
      <c r="G81" t="s">
        <v>18</v>
      </c>
      <c r="H81" t="s">
        <v>27</v>
      </c>
      <c r="I81" t="s">
        <v>104</v>
      </c>
      <c r="J81">
        <v>50</v>
      </c>
      <c r="K81" t="b">
        <f>FALSE()</f>
        <v>0</v>
      </c>
      <c r="L81" t="s">
        <v>29</v>
      </c>
      <c r="M81" t="s">
        <v>22</v>
      </c>
    </row>
    <row r="82" spans="1:13" x14ac:dyDescent="0.3">
      <c r="A82" t="s">
        <v>127</v>
      </c>
      <c r="B82" s="4">
        <v>29356</v>
      </c>
      <c r="C82">
        <v>1980</v>
      </c>
      <c r="D82">
        <v>5</v>
      </c>
      <c r="E82" t="s">
        <v>16</v>
      </c>
      <c r="F82" t="s">
        <v>17</v>
      </c>
      <c r="G82" t="s">
        <v>18</v>
      </c>
      <c r="H82" t="s">
        <v>19</v>
      </c>
      <c r="I82" t="s">
        <v>45</v>
      </c>
      <c r="J82">
        <v>50</v>
      </c>
      <c r="K82" t="b">
        <f>FALSE()</f>
        <v>0</v>
      </c>
      <c r="L82" t="s">
        <v>21</v>
      </c>
      <c r="M82" t="s">
        <v>22</v>
      </c>
    </row>
    <row r="83" spans="1:13" x14ac:dyDescent="0.3">
      <c r="A83" t="s">
        <v>128</v>
      </c>
      <c r="B83" s="4">
        <v>29382</v>
      </c>
      <c r="C83">
        <v>1980</v>
      </c>
      <c r="D83">
        <v>6</v>
      </c>
      <c r="E83" t="s">
        <v>16</v>
      </c>
      <c r="F83" t="s">
        <v>17</v>
      </c>
      <c r="G83" t="s">
        <v>18</v>
      </c>
      <c r="H83" t="s">
        <v>19</v>
      </c>
      <c r="I83" t="s">
        <v>45</v>
      </c>
      <c r="J83">
        <v>50</v>
      </c>
      <c r="K83" t="b">
        <f>FALSE()</f>
        <v>0</v>
      </c>
      <c r="L83" t="s">
        <v>21</v>
      </c>
      <c r="M83" t="s">
        <v>22</v>
      </c>
    </row>
    <row r="84" spans="1:13" x14ac:dyDescent="0.3">
      <c r="A84" t="s">
        <v>129</v>
      </c>
      <c r="B84" s="4">
        <v>29420</v>
      </c>
      <c r="C84">
        <v>1980</v>
      </c>
      <c r="D84">
        <v>7</v>
      </c>
      <c r="E84" t="s">
        <v>16</v>
      </c>
      <c r="F84" t="s">
        <v>130</v>
      </c>
      <c r="G84" t="s">
        <v>18</v>
      </c>
      <c r="H84" t="s">
        <v>131</v>
      </c>
      <c r="I84" t="s">
        <v>132</v>
      </c>
      <c r="J84">
        <v>0</v>
      </c>
      <c r="K84" t="b">
        <f>FALSE()</f>
        <v>0</v>
      </c>
      <c r="L84" t="s">
        <v>133</v>
      </c>
      <c r="M84" t="s">
        <v>22</v>
      </c>
    </row>
    <row r="85" spans="1:13" x14ac:dyDescent="0.3">
      <c r="A85" t="s">
        <v>134</v>
      </c>
      <c r="B85" s="4">
        <v>29448</v>
      </c>
      <c r="C85">
        <v>1980</v>
      </c>
      <c r="D85">
        <v>8</v>
      </c>
      <c r="E85" t="s">
        <v>16</v>
      </c>
      <c r="F85" t="s">
        <v>17</v>
      </c>
      <c r="G85" t="s">
        <v>18</v>
      </c>
      <c r="H85" t="s">
        <v>19</v>
      </c>
      <c r="I85" t="s">
        <v>45</v>
      </c>
      <c r="J85">
        <v>50</v>
      </c>
      <c r="K85" t="b">
        <f>FALSE()</f>
        <v>0</v>
      </c>
      <c r="L85" t="s">
        <v>21</v>
      </c>
      <c r="M85" t="s">
        <v>22</v>
      </c>
    </row>
    <row r="86" spans="1:13" x14ac:dyDescent="0.3">
      <c r="A86" t="s">
        <v>135</v>
      </c>
      <c r="B86" s="4">
        <v>29540</v>
      </c>
      <c r="C86">
        <v>1980</v>
      </c>
      <c r="D86">
        <v>11</v>
      </c>
      <c r="E86" t="s">
        <v>16</v>
      </c>
      <c r="F86" t="s">
        <v>17</v>
      </c>
      <c r="G86" t="s">
        <v>18</v>
      </c>
      <c r="H86" t="s">
        <v>19</v>
      </c>
      <c r="I86" t="s">
        <v>45</v>
      </c>
      <c r="J86">
        <v>50</v>
      </c>
      <c r="K86" t="b">
        <f>FALSE()</f>
        <v>0</v>
      </c>
      <c r="L86" t="s">
        <v>21</v>
      </c>
      <c r="M86" t="s">
        <v>22</v>
      </c>
    </row>
    <row r="87" spans="1:13" x14ac:dyDescent="0.3">
      <c r="A87" t="s">
        <v>136</v>
      </c>
      <c r="B87" s="4">
        <v>29627</v>
      </c>
      <c r="C87">
        <v>1981</v>
      </c>
      <c r="D87">
        <v>2</v>
      </c>
      <c r="E87" t="s">
        <v>16</v>
      </c>
      <c r="F87" t="s">
        <v>17</v>
      </c>
      <c r="G87" t="s">
        <v>18</v>
      </c>
      <c r="H87" t="s">
        <v>19</v>
      </c>
      <c r="I87" t="s">
        <v>45</v>
      </c>
      <c r="J87">
        <v>50</v>
      </c>
      <c r="K87" t="b">
        <f>FALSE()</f>
        <v>0</v>
      </c>
      <c r="L87" t="s">
        <v>21</v>
      </c>
      <c r="M87" t="s">
        <v>22</v>
      </c>
    </row>
    <row r="88" spans="1:13" x14ac:dyDescent="0.3">
      <c r="A88" t="s">
        <v>137</v>
      </c>
      <c r="B88" s="4">
        <v>29629</v>
      </c>
      <c r="C88">
        <v>1981</v>
      </c>
      <c r="D88">
        <v>2</v>
      </c>
      <c r="E88" t="s">
        <v>16</v>
      </c>
      <c r="F88" t="s">
        <v>58</v>
      </c>
      <c r="G88" t="s">
        <v>18</v>
      </c>
      <c r="H88" t="s">
        <v>59</v>
      </c>
      <c r="I88" t="s">
        <v>60</v>
      </c>
      <c r="J88">
        <v>70</v>
      </c>
      <c r="K88" t="b">
        <f>FALSE()</f>
        <v>0</v>
      </c>
      <c r="L88" t="s">
        <v>61</v>
      </c>
      <c r="M88" t="s">
        <v>22</v>
      </c>
    </row>
    <row r="89" spans="1:13" x14ac:dyDescent="0.3">
      <c r="A89" t="s">
        <v>138</v>
      </c>
      <c r="B89" s="4">
        <v>29632</v>
      </c>
      <c r="C89">
        <v>1981</v>
      </c>
      <c r="D89">
        <v>2</v>
      </c>
      <c r="E89" t="s">
        <v>16</v>
      </c>
      <c r="F89" t="s">
        <v>17</v>
      </c>
      <c r="G89" t="s">
        <v>18</v>
      </c>
      <c r="H89" t="s">
        <v>19</v>
      </c>
      <c r="I89" t="s">
        <v>45</v>
      </c>
      <c r="J89">
        <v>50</v>
      </c>
      <c r="K89" t="b">
        <f>FALSE()</f>
        <v>0</v>
      </c>
      <c r="L89" t="s">
        <v>21</v>
      </c>
      <c r="M89" t="s">
        <v>22</v>
      </c>
    </row>
    <row r="90" spans="1:13" x14ac:dyDescent="0.3">
      <c r="A90" t="s">
        <v>139</v>
      </c>
      <c r="B90" s="4">
        <v>29660</v>
      </c>
      <c r="C90">
        <v>1981</v>
      </c>
      <c r="D90">
        <v>3</v>
      </c>
      <c r="E90" t="s">
        <v>16</v>
      </c>
      <c r="F90" t="s">
        <v>41</v>
      </c>
      <c r="G90" t="s">
        <v>18</v>
      </c>
      <c r="H90" t="s">
        <v>27</v>
      </c>
      <c r="I90" t="s">
        <v>104</v>
      </c>
      <c r="J90">
        <v>50</v>
      </c>
      <c r="K90" t="b">
        <f>FALSE()</f>
        <v>0</v>
      </c>
      <c r="L90" t="s">
        <v>29</v>
      </c>
      <c r="M90" t="s">
        <v>22</v>
      </c>
    </row>
    <row r="91" spans="1:13" x14ac:dyDescent="0.3">
      <c r="A91" t="s">
        <v>140</v>
      </c>
      <c r="B91" s="4">
        <v>29688</v>
      </c>
      <c r="C91">
        <v>1981</v>
      </c>
      <c r="D91">
        <v>4</v>
      </c>
      <c r="E91" t="s">
        <v>16</v>
      </c>
      <c r="F91" t="s">
        <v>41</v>
      </c>
      <c r="G91" t="s">
        <v>18</v>
      </c>
      <c r="H91" t="s">
        <v>27</v>
      </c>
      <c r="I91" t="s">
        <v>141</v>
      </c>
      <c r="J91">
        <v>450</v>
      </c>
      <c r="K91" t="b">
        <f>TRUE()</f>
        <v>1</v>
      </c>
      <c r="L91" t="s">
        <v>53</v>
      </c>
      <c r="M91" t="s">
        <v>22</v>
      </c>
    </row>
    <row r="92" spans="1:13" x14ac:dyDescent="0.3">
      <c r="A92" t="s">
        <v>142</v>
      </c>
      <c r="B92" s="4">
        <v>29721</v>
      </c>
      <c r="C92">
        <v>1981</v>
      </c>
      <c r="D92">
        <v>5</v>
      </c>
      <c r="E92" t="s">
        <v>16</v>
      </c>
      <c r="F92" t="s">
        <v>17</v>
      </c>
      <c r="G92" t="s">
        <v>18</v>
      </c>
      <c r="H92" t="s">
        <v>19</v>
      </c>
      <c r="I92" t="s">
        <v>45</v>
      </c>
      <c r="J92">
        <v>50</v>
      </c>
      <c r="K92" t="b">
        <f>FALSE()</f>
        <v>0</v>
      </c>
      <c r="L92" t="s">
        <v>21</v>
      </c>
      <c r="M92" t="s">
        <v>22</v>
      </c>
    </row>
    <row r="93" spans="1:13" x14ac:dyDescent="0.3">
      <c r="A93" t="s">
        <v>143</v>
      </c>
      <c r="B93" s="4">
        <v>29747</v>
      </c>
      <c r="C93">
        <v>1981</v>
      </c>
      <c r="D93">
        <v>6</v>
      </c>
      <c r="E93" t="s">
        <v>16</v>
      </c>
      <c r="F93" t="s">
        <v>17</v>
      </c>
      <c r="G93" t="s">
        <v>18</v>
      </c>
      <c r="H93" t="s">
        <v>19</v>
      </c>
      <c r="I93" t="s">
        <v>45</v>
      </c>
      <c r="J93">
        <v>50</v>
      </c>
      <c r="K93" t="b">
        <f>FALSE()</f>
        <v>0</v>
      </c>
      <c r="L93" t="s">
        <v>21</v>
      </c>
      <c r="M93" t="s">
        <v>22</v>
      </c>
    </row>
    <row r="94" spans="1:13" x14ac:dyDescent="0.3">
      <c r="A94" t="s">
        <v>144</v>
      </c>
      <c r="B94" s="4">
        <v>29813</v>
      </c>
      <c r="C94">
        <v>1981</v>
      </c>
      <c r="D94">
        <v>8</v>
      </c>
      <c r="E94" t="s">
        <v>16</v>
      </c>
      <c r="F94" t="s">
        <v>17</v>
      </c>
      <c r="G94" t="s">
        <v>18</v>
      </c>
      <c r="H94" t="s">
        <v>19</v>
      </c>
      <c r="I94" t="s">
        <v>45</v>
      </c>
      <c r="J94">
        <v>50</v>
      </c>
      <c r="K94" t="b">
        <f>FALSE()</f>
        <v>0</v>
      </c>
      <c r="L94" t="s">
        <v>21</v>
      </c>
      <c r="M94" t="s">
        <v>22</v>
      </c>
    </row>
    <row r="95" spans="1:13" x14ac:dyDescent="0.3">
      <c r="A95" t="s">
        <v>145</v>
      </c>
      <c r="B95" s="4">
        <v>29905</v>
      </c>
      <c r="C95">
        <v>1981</v>
      </c>
      <c r="D95">
        <v>11</v>
      </c>
      <c r="E95" t="s">
        <v>16</v>
      </c>
      <c r="F95" t="s">
        <v>17</v>
      </c>
      <c r="G95" t="s">
        <v>18</v>
      </c>
      <c r="H95" t="s">
        <v>19</v>
      </c>
      <c r="I95" t="s">
        <v>45</v>
      </c>
      <c r="J95">
        <v>50</v>
      </c>
      <c r="K95" t="b">
        <f>FALSE()</f>
        <v>0</v>
      </c>
      <c r="L95" t="s">
        <v>21</v>
      </c>
      <c r="M95" t="s">
        <v>22</v>
      </c>
    </row>
    <row r="96" spans="1:13" x14ac:dyDescent="0.3">
      <c r="A96" t="s">
        <v>146</v>
      </c>
      <c r="B96" s="4">
        <v>29992</v>
      </c>
      <c r="C96">
        <v>1982</v>
      </c>
      <c r="D96">
        <v>2</v>
      </c>
      <c r="E96" t="s">
        <v>16</v>
      </c>
      <c r="F96" t="s">
        <v>17</v>
      </c>
      <c r="G96" t="s">
        <v>18</v>
      </c>
      <c r="H96" t="s">
        <v>19</v>
      </c>
      <c r="I96" t="s">
        <v>45</v>
      </c>
      <c r="J96">
        <v>50</v>
      </c>
      <c r="K96" t="b">
        <f>FALSE()</f>
        <v>0</v>
      </c>
      <c r="L96" t="s">
        <v>21</v>
      </c>
      <c r="M96" t="s">
        <v>22</v>
      </c>
    </row>
    <row r="97" spans="1:13" x14ac:dyDescent="0.3">
      <c r="A97" t="s">
        <v>147</v>
      </c>
      <c r="B97" s="4">
        <v>29994</v>
      </c>
      <c r="C97">
        <v>1982</v>
      </c>
      <c r="D97">
        <v>2</v>
      </c>
      <c r="E97" t="s">
        <v>16</v>
      </c>
      <c r="F97" t="s">
        <v>58</v>
      </c>
      <c r="G97" t="s">
        <v>18</v>
      </c>
      <c r="H97" t="s">
        <v>59</v>
      </c>
      <c r="I97" t="s">
        <v>60</v>
      </c>
      <c r="J97">
        <v>70</v>
      </c>
      <c r="K97" t="b">
        <f>FALSE()</f>
        <v>0</v>
      </c>
      <c r="L97" t="s">
        <v>61</v>
      </c>
      <c r="M97" t="s">
        <v>22</v>
      </c>
    </row>
    <row r="98" spans="1:13" x14ac:dyDescent="0.3">
      <c r="A98" t="s">
        <v>148</v>
      </c>
      <c r="B98" s="4">
        <v>29997</v>
      </c>
      <c r="C98">
        <v>1982</v>
      </c>
      <c r="D98">
        <v>2</v>
      </c>
      <c r="E98" t="s">
        <v>16</v>
      </c>
      <c r="F98" t="s">
        <v>17</v>
      </c>
      <c r="G98" t="s">
        <v>18</v>
      </c>
      <c r="H98" t="s">
        <v>19</v>
      </c>
      <c r="I98" t="s">
        <v>45</v>
      </c>
      <c r="J98">
        <v>50</v>
      </c>
      <c r="K98" t="b">
        <f>FALSE()</f>
        <v>0</v>
      </c>
      <c r="L98" t="s">
        <v>21</v>
      </c>
      <c r="M98" t="s">
        <v>22</v>
      </c>
    </row>
    <row r="99" spans="1:13" x14ac:dyDescent="0.3">
      <c r="A99" t="s">
        <v>149</v>
      </c>
      <c r="B99" s="4">
        <v>30025</v>
      </c>
      <c r="C99">
        <v>1982</v>
      </c>
      <c r="D99">
        <v>3</v>
      </c>
      <c r="E99" t="s">
        <v>16</v>
      </c>
      <c r="F99" t="s">
        <v>41</v>
      </c>
      <c r="G99" t="s">
        <v>18</v>
      </c>
      <c r="H99" t="s">
        <v>27</v>
      </c>
      <c r="I99" t="s">
        <v>104</v>
      </c>
      <c r="J99">
        <v>50</v>
      </c>
      <c r="K99" t="b">
        <f>FALSE()</f>
        <v>0</v>
      </c>
      <c r="L99" t="s">
        <v>29</v>
      </c>
      <c r="M99" t="s">
        <v>22</v>
      </c>
    </row>
    <row r="100" spans="1:13" x14ac:dyDescent="0.3">
      <c r="A100" t="s">
        <v>150</v>
      </c>
      <c r="B100" s="4">
        <v>30086</v>
      </c>
      <c r="C100">
        <v>1982</v>
      </c>
      <c r="D100">
        <v>5</v>
      </c>
      <c r="E100" t="s">
        <v>16</v>
      </c>
      <c r="F100" t="s">
        <v>17</v>
      </c>
      <c r="G100" t="s">
        <v>18</v>
      </c>
      <c r="H100" t="s">
        <v>19</v>
      </c>
      <c r="I100" t="s">
        <v>45</v>
      </c>
      <c r="J100">
        <v>50</v>
      </c>
      <c r="K100" t="b">
        <f>FALSE()</f>
        <v>0</v>
      </c>
      <c r="L100" t="s">
        <v>21</v>
      </c>
      <c r="M100" t="s">
        <v>22</v>
      </c>
    </row>
    <row r="101" spans="1:13" x14ac:dyDescent="0.3">
      <c r="A101" t="s">
        <v>151</v>
      </c>
      <c r="B101" s="4">
        <v>30112</v>
      </c>
      <c r="C101">
        <v>1982</v>
      </c>
      <c r="D101">
        <v>6</v>
      </c>
      <c r="E101" t="s">
        <v>16</v>
      </c>
      <c r="F101" t="s">
        <v>17</v>
      </c>
      <c r="G101" t="s">
        <v>18</v>
      </c>
      <c r="H101" t="s">
        <v>19</v>
      </c>
      <c r="I101" t="s">
        <v>45</v>
      </c>
      <c r="J101">
        <v>50</v>
      </c>
      <c r="K101" t="b">
        <f>FALSE()</f>
        <v>0</v>
      </c>
      <c r="L101" t="s">
        <v>21</v>
      </c>
      <c r="M101" t="s">
        <v>22</v>
      </c>
    </row>
    <row r="102" spans="1:13" x14ac:dyDescent="0.3">
      <c r="A102" t="s">
        <v>152</v>
      </c>
      <c r="B102" s="4">
        <v>30178</v>
      </c>
      <c r="C102">
        <v>1982</v>
      </c>
      <c r="D102">
        <v>8</v>
      </c>
      <c r="E102" t="s">
        <v>16</v>
      </c>
      <c r="F102" t="s">
        <v>17</v>
      </c>
      <c r="G102" t="s">
        <v>18</v>
      </c>
      <c r="H102" t="s">
        <v>19</v>
      </c>
      <c r="I102" t="s">
        <v>45</v>
      </c>
      <c r="J102">
        <v>50</v>
      </c>
      <c r="K102" t="b">
        <f>FALSE()</f>
        <v>0</v>
      </c>
      <c r="L102" t="s">
        <v>21</v>
      </c>
      <c r="M102" t="s">
        <v>22</v>
      </c>
    </row>
    <row r="103" spans="1:13" x14ac:dyDescent="0.3">
      <c r="A103" t="s">
        <v>153</v>
      </c>
      <c r="B103" s="4">
        <v>30270</v>
      </c>
      <c r="C103">
        <v>1982</v>
      </c>
      <c r="D103">
        <v>11</v>
      </c>
      <c r="E103" t="s">
        <v>16</v>
      </c>
      <c r="F103" t="s">
        <v>17</v>
      </c>
      <c r="G103" t="s">
        <v>18</v>
      </c>
      <c r="H103" t="s">
        <v>19</v>
      </c>
      <c r="I103" t="s">
        <v>45</v>
      </c>
      <c r="J103">
        <v>50</v>
      </c>
      <c r="K103" t="b">
        <f>FALSE()</f>
        <v>0</v>
      </c>
      <c r="L103" t="s">
        <v>21</v>
      </c>
      <c r="M103" t="s">
        <v>22</v>
      </c>
    </row>
    <row r="104" spans="1:13" x14ac:dyDescent="0.3">
      <c r="A104" t="s">
        <v>154</v>
      </c>
      <c r="B104" s="4">
        <v>30357</v>
      </c>
      <c r="C104">
        <v>1983</v>
      </c>
      <c r="D104">
        <v>2</v>
      </c>
      <c r="E104" t="s">
        <v>16</v>
      </c>
      <c r="F104" t="s">
        <v>17</v>
      </c>
      <c r="G104" t="s">
        <v>18</v>
      </c>
      <c r="H104" t="s">
        <v>19</v>
      </c>
      <c r="I104" t="s">
        <v>45</v>
      </c>
      <c r="J104">
        <v>50</v>
      </c>
      <c r="K104" t="b">
        <f>FALSE()</f>
        <v>0</v>
      </c>
      <c r="L104" t="s">
        <v>21</v>
      </c>
      <c r="M104" t="s">
        <v>22</v>
      </c>
    </row>
    <row r="105" spans="1:13" x14ac:dyDescent="0.3">
      <c r="A105" t="s">
        <v>155</v>
      </c>
      <c r="B105" s="4">
        <v>30359</v>
      </c>
      <c r="C105">
        <v>1983</v>
      </c>
      <c r="D105">
        <v>2</v>
      </c>
      <c r="E105" t="s">
        <v>16</v>
      </c>
      <c r="F105" t="s">
        <v>58</v>
      </c>
      <c r="G105" t="s">
        <v>18</v>
      </c>
      <c r="H105" t="s">
        <v>59</v>
      </c>
      <c r="I105" t="s">
        <v>60</v>
      </c>
      <c r="J105">
        <v>70</v>
      </c>
      <c r="K105" t="b">
        <f>FALSE()</f>
        <v>0</v>
      </c>
      <c r="L105" t="s">
        <v>61</v>
      </c>
      <c r="M105" t="s">
        <v>22</v>
      </c>
    </row>
    <row r="106" spans="1:13" x14ac:dyDescent="0.3">
      <c r="A106" t="s">
        <v>156</v>
      </c>
      <c r="B106" s="4">
        <v>30362</v>
      </c>
      <c r="C106">
        <v>1983</v>
      </c>
      <c r="D106">
        <v>2</v>
      </c>
      <c r="E106" t="s">
        <v>16</v>
      </c>
      <c r="F106" t="s">
        <v>17</v>
      </c>
      <c r="G106" t="s">
        <v>18</v>
      </c>
      <c r="H106" t="s">
        <v>19</v>
      </c>
      <c r="I106" t="s">
        <v>45</v>
      </c>
      <c r="J106">
        <v>50</v>
      </c>
      <c r="K106" t="b">
        <f>FALSE()</f>
        <v>0</v>
      </c>
      <c r="L106" t="s">
        <v>21</v>
      </c>
      <c r="M106" t="s">
        <v>22</v>
      </c>
    </row>
    <row r="107" spans="1:13" x14ac:dyDescent="0.3">
      <c r="A107" t="s">
        <v>157</v>
      </c>
      <c r="B107" s="4">
        <v>30390</v>
      </c>
      <c r="C107">
        <v>1983</v>
      </c>
      <c r="D107">
        <v>3</v>
      </c>
      <c r="E107" t="s">
        <v>16</v>
      </c>
      <c r="F107" t="s">
        <v>41</v>
      </c>
      <c r="G107" t="s">
        <v>18</v>
      </c>
      <c r="H107" t="s">
        <v>27</v>
      </c>
      <c r="I107" t="s">
        <v>104</v>
      </c>
      <c r="J107">
        <v>50</v>
      </c>
      <c r="K107" t="b">
        <f>FALSE()</f>
        <v>0</v>
      </c>
      <c r="L107" t="s">
        <v>29</v>
      </c>
      <c r="M107" t="s">
        <v>22</v>
      </c>
    </row>
    <row r="108" spans="1:13" x14ac:dyDescent="0.3">
      <c r="A108" t="s">
        <v>158</v>
      </c>
      <c r="B108" s="4">
        <v>30410</v>
      </c>
      <c r="C108">
        <v>1983</v>
      </c>
      <c r="D108">
        <v>4</v>
      </c>
      <c r="E108" t="s">
        <v>16</v>
      </c>
      <c r="F108" t="s">
        <v>41</v>
      </c>
      <c r="G108" t="s">
        <v>18</v>
      </c>
      <c r="H108" t="s">
        <v>27</v>
      </c>
      <c r="I108" t="s">
        <v>141</v>
      </c>
      <c r="J108">
        <v>450</v>
      </c>
      <c r="K108" t="b">
        <f>TRUE()</f>
        <v>1</v>
      </c>
      <c r="L108" t="s">
        <v>53</v>
      </c>
      <c r="M108" t="s">
        <v>22</v>
      </c>
    </row>
    <row r="109" spans="1:13" x14ac:dyDescent="0.3">
      <c r="A109" t="s">
        <v>159</v>
      </c>
      <c r="B109" s="4">
        <v>30451</v>
      </c>
      <c r="C109">
        <v>1983</v>
      </c>
      <c r="D109">
        <v>5</v>
      </c>
      <c r="E109" t="s">
        <v>16</v>
      </c>
      <c r="F109" t="s">
        <v>17</v>
      </c>
      <c r="G109" t="s">
        <v>18</v>
      </c>
      <c r="H109" t="s">
        <v>19</v>
      </c>
      <c r="I109" t="s">
        <v>45</v>
      </c>
      <c r="J109">
        <v>50</v>
      </c>
      <c r="K109" t="b">
        <f>FALSE()</f>
        <v>0</v>
      </c>
      <c r="L109" t="s">
        <v>21</v>
      </c>
      <c r="M109" t="s">
        <v>22</v>
      </c>
    </row>
    <row r="110" spans="1:13" x14ac:dyDescent="0.3">
      <c r="A110" t="s">
        <v>160</v>
      </c>
      <c r="B110" s="4">
        <v>30477</v>
      </c>
      <c r="C110">
        <v>1983</v>
      </c>
      <c r="D110">
        <v>6</v>
      </c>
      <c r="E110" t="s">
        <v>16</v>
      </c>
      <c r="F110" t="s">
        <v>17</v>
      </c>
      <c r="G110" t="s">
        <v>18</v>
      </c>
      <c r="H110" t="s">
        <v>19</v>
      </c>
      <c r="I110" t="s">
        <v>45</v>
      </c>
      <c r="J110">
        <v>50</v>
      </c>
      <c r="K110" t="b">
        <f>FALSE()</f>
        <v>0</v>
      </c>
      <c r="L110" t="s">
        <v>21</v>
      </c>
      <c r="M110" t="s">
        <v>22</v>
      </c>
    </row>
    <row r="111" spans="1:13" x14ac:dyDescent="0.3">
      <c r="A111" t="s">
        <v>161</v>
      </c>
      <c r="B111" s="4">
        <v>30543</v>
      </c>
      <c r="C111">
        <v>1983</v>
      </c>
      <c r="D111">
        <v>8</v>
      </c>
      <c r="E111" t="s">
        <v>16</v>
      </c>
      <c r="F111" t="s">
        <v>17</v>
      </c>
      <c r="G111" t="s">
        <v>18</v>
      </c>
      <c r="H111" t="s">
        <v>19</v>
      </c>
      <c r="I111" t="s">
        <v>45</v>
      </c>
      <c r="J111">
        <v>50</v>
      </c>
      <c r="K111" t="b">
        <f>FALSE()</f>
        <v>0</v>
      </c>
      <c r="L111" t="s">
        <v>21</v>
      </c>
      <c r="M111" t="s">
        <v>22</v>
      </c>
    </row>
    <row r="112" spans="1:13" x14ac:dyDescent="0.3">
      <c r="A112" t="s">
        <v>162</v>
      </c>
      <c r="B112" s="4">
        <v>30635</v>
      </c>
      <c r="C112">
        <v>1983</v>
      </c>
      <c r="D112">
        <v>11</v>
      </c>
      <c r="E112" t="s">
        <v>16</v>
      </c>
      <c r="F112" t="s">
        <v>17</v>
      </c>
      <c r="G112" t="s">
        <v>18</v>
      </c>
      <c r="H112" t="s">
        <v>19</v>
      </c>
      <c r="I112" t="s">
        <v>45</v>
      </c>
      <c r="J112">
        <v>50</v>
      </c>
      <c r="K112" t="b">
        <f>FALSE()</f>
        <v>0</v>
      </c>
      <c r="L112" t="s">
        <v>21</v>
      </c>
      <c r="M112" t="s">
        <v>22</v>
      </c>
    </row>
    <row r="113" spans="1:13" x14ac:dyDescent="0.3">
      <c r="A113" t="s">
        <v>163</v>
      </c>
      <c r="B113" s="4">
        <v>30722</v>
      </c>
      <c r="C113">
        <v>1984</v>
      </c>
      <c r="D113">
        <v>2</v>
      </c>
      <c r="E113" t="s">
        <v>16</v>
      </c>
      <c r="F113" t="s">
        <v>17</v>
      </c>
      <c r="G113" t="s">
        <v>18</v>
      </c>
      <c r="H113" t="s">
        <v>19</v>
      </c>
      <c r="I113" t="s">
        <v>45</v>
      </c>
      <c r="J113">
        <v>50</v>
      </c>
      <c r="K113" t="b">
        <f>FALSE()</f>
        <v>0</v>
      </c>
      <c r="L113" t="s">
        <v>21</v>
      </c>
      <c r="M113" t="s">
        <v>22</v>
      </c>
    </row>
    <row r="114" spans="1:13" x14ac:dyDescent="0.3">
      <c r="A114" t="s">
        <v>164</v>
      </c>
      <c r="B114" s="4">
        <v>30724</v>
      </c>
      <c r="C114">
        <v>1984</v>
      </c>
      <c r="D114">
        <v>2</v>
      </c>
      <c r="E114" t="s">
        <v>16</v>
      </c>
      <c r="F114" t="s">
        <v>58</v>
      </c>
      <c r="G114" t="s">
        <v>18</v>
      </c>
      <c r="H114" t="s">
        <v>59</v>
      </c>
      <c r="I114" t="s">
        <v>60</v>
      </c>
      <c r="J114">
        <v>70</v>
      </c>
      <c r="K114" t="b">
        <f>FALSE()</f>
        <v>0</v>
      </c>
      <c r="L114" t="s">
        <v>61</v>
      </c>
      <c r="M114" t="s">
        <v>22</v>
      </c>
    </row>
    <row r="115" spans="1:13" x14ac:dyDescent="0.3">
      <c r="A115" t="s">
        <v>165</v>
      </c>
      <c r="B115" s="4">
        <v>30727</v>
      </c>
      <c r="C115">
        <v>1984</v>
      </c>
      <c r="D115">
        <v>2</v>
      </c>
      <c r="E115" t="s">
        <v>16</v>
      </c>
      <c r="F115" t="s">
        <v>17</v>
      </c>
      <c r="G115" t="s">
        <v>18</v>
      </c>
      <c r="H115" t="s">
        <v>19</v>
      </c>
      <c r="I115" t="s">
        <v>45</v>
      </c>
      <c r="J115">
        <v>50</v>
      </c>
      <c r="K115" t="b">
        <f>FALSE()</f>
        <v>0</v>
      </c>
      <c r="L115" t="s">
        <v>21</v>
      </c>
      <c r="M115" t="s">
        <v>22</v>
      </c>
    </row>
    <row r="116" spans="1:13" x14ac:dyDescent="0.3">
      <c r="A116" t="s">
        <v>166</v>
      </c>
      <c r="B116" s="4">
        <v>30756</v>
      </c>
      <c r="C116">
        <v>1984</v>
      </c>
      <c r="D116">
        <v>3</v>
      </c>
      <c r="E116" t="s">
        <v>16</v>
      </c>
      <c r="F116" t="s">
        <v>41</v>
      </c>
      <c r="G116" t="s">
        <v>18</v>
      </c>
      <c r="H116" t="s">
        <v>27</v>
      </c>
      <c r="I116" t="s">
        <v>104</v>
      </c>
      <c r="J116">
        <v>50</v>
      </c>
      <c r="K116" t="b">
        <f>FALSE()</f>
        <v>0</v>
      </c>
      <c r="L116" t="s">
        <v>29</v>
      </c>
      <c r="M116" t="s">
        <v>22</v>
      </c>
    </row>
    <row r="117" spans="1:13" x14ac:dyDescent="0.3">
      <c r="A117" t="s">
        <v>167</v>
      </c>
      <c r="B117" s="4">
        <v>30817</v>
      </c>
      <c r="C117">
        <v>1984</v>
      </c>
      <c r="D117">
        <v>5</v>
      </c>
      <c r="E117" t="s">
        <v>16</v>
      </c>
      <c r="F117" t="s">
        <v>17</v>
      </c>
      <c r="G117" t="s">
        <v>18</v>
      </c>
      <c r="H117" t="s">
        <v>19</v>
      </c>
      <c r="I117" t="s">
        <v>45</v>
      </c>
      <c r="J117">
        <v>50</v>
      </c>
      <c r="K117" t="b">
        <f>FALSE()</f>
        <v>0</v>
      </c>
      <c r="L117" t="s">
        <v>21</v>
      </c>
      <c r="M117" t="s">
        <v>22</v>
      </c>
    </row>
    <row r="118" spans="1:13" x14ac:dyDescent="0.3">
      <c r="A118" t="s">
        <v>168</v>
      </c>
      <c r="B118" s="4">
        <v>30843</v>
      </c>
      <c r="C118">
        <v>1984</v>
      </c>
      <c r="D118">
        <v>6</v>
      </c>
      <c r="E118" t="s">
        <v>16</v>
      </c>
      <c r="F118" t="s">
        <v>17</v>
      </c>
      <c r="G118" t="s">
        <v>18</v>
      </c>
      <c r="H118" t="s">
        <v>19</v>
      </c>
      <c r="I118" t="s">
        <v>45</v>
      </c>
      <c r="J118">
        <v>50</v>
      </c>
      <c r="K118" t="b">
        <f>FALSE()</f>
        <v>0</v>
      </c>
      <c r="L118" t="s">
        <v>21</v>
      </c>
      <c r="M118" t="s">
        <v>22</v>
      </c>
    </row>
    <row r="119" spans="1:13" x14ac:dyDescent="0.3">
      <c r="A119" t="s">
        <v>169</v>
      </c>
      <c r="B119" s="4">
        <v>30909</v>
      </c>
      <c r="C119">
        <v>1984</v>
      </c>
      <c r="D119">
        <v>8</v>
      </c>
      <c r="E119" t="s">
        <v>16</v>
      </c>
      <c r="F119" t="s">
        <v>17</v>
      </c>
      <c r="G119" t="s">
        <v>18</v>
      </c>
      <c r="H119" t="s">
        <v>19</v>
      </c>
      <c r="I119" t="s">
        <v>45</v>
      </c>
      <c r="J119">
        <v>50</v>
      </c>
      <c r="K119" t="b">
        <f>FALSE()</f>
        <v>0</v>
      </c>
      <c r="L119" t="s">
        <v>21</v>
      </c>
      <c r="M119" t="s">
        <v>22</v>
      </c>
    </row>
    <row r="120" spans="1:13" x14ac:dyDescent="0.3">
      <c r="A120" t="s">
        <v>170</v>
      </c>
      <c r="B120" s="4">
        <v>31001</v>
      </c>
      <c r="C120">
        <v>1984</v>
      </c>
      <c r="D120">
        <v>11</v>
      </c>
      <c r="E120" t="s">
        <v>16</v>
      </c>
      <c r="F120" t="s">
        <v>17</v>
      </c>
      <c r="G120" t="s">
        <v>18</v>
      </c>
      <c r="H120" t="s">
        <v>19</v>
      </c>
      <c r="I120" t="s">
        <v>45</v>
      </c>
      <c r="J120">
        <v>50</v>
      </c>
      <c r="K120" t="b">
        <f>FALSE()</f>
        <v>0</v>
      </c>
      <c r="L120" t="s">
        <v>21</v>
      </c>
      <c r="M120" t="s">
        <v>22</v>
      </c>
    </row>
    <row r="121" spans="1:13" x14ac:dyDescent="0.3">
      <c r="A121" t="s">
        <v>171</v>
      </c>
      <c r="B121" s="4">
        <v>31088</v>
      </c>
      <c r="C121">
        <v>1985</v>
      </c>
      <c r="D121">
        <v>2</v>
      </c>
      <c r="E121" t="s">
        <v>16</v>
      </c>
      <c r="F121" t="s">
        <v>17</v>
      </c>
      <c r="G121" t="s">
        <v>18</v>
      </c>
      <c r="H121" t="s">
        <v>19</v>
      </c>
      <c r="I121" t="s">
        <v>45</v>
      </c>
      <c r="J121">
        <v>50</v>
      </c>
      <c r="K121" t="b">
        <f>FALSE()</f>
        <v>0</v>
      </c>
      <c r="L121" t="s">
        <v>21</v>
      </c>
      <c r="M121" t="s">
        <v>22</v>
      </c>
    </row>
    <row r="122" spans="1:13" x14ac:dyDescent="0.3">
      <c r="A122" t="s">
        <v>172</v>
      </c>
      <c r="B122" s="4">
        <v>31090</v>
      </c>
      <c r="C122">
        <v>1985</v>
      </c>
      <c r="D122">
        <v>2</v>
      </c>
      <c r="E122" t="s">
        <v>16</v>
      </c>
      <c r="F122" t="s">
        <v>58</v>
      </c>
      <c r="G122" t="s">
        <v>18</v>
      </c>
      <c r="H122" t="s">
        <v>59</v>
      </c>
      <c r="I122" t="s">
        <v>60</v>
      </c>
      <c r="J122">
        <v>70</v>
      </c>
      <c r="K122" t="b">
        <f>FALSE()</f>
        <v>0</v>
      </c>
      <c r="L122" t="s">
        <v>61</v>
      </c>
      <c r="M122" t="s">
        <v>22</v>
      </c>
    </row>
    <row r="123" spans="1:13" x14ac:dyDescent="0.3">
      <c r="A123" t="s">
        <v>173</v>
      </c>
      <c r="B123" s="4">
        <v>31093</v>
      </c>
      <c r="C123">
        <v>1985</v>
      </c>
      <c r="D123">
        <v>2</v>
      </c>
      <c r="E123" t="s">
        <v>16</v>
      </c>
      <c r="F123" t="s">
        <v>17</v>
      </c>
      <c r="G123" t="s">
        <v>18</v>
      </c>
      <c r="H123" t="s">
        <v>19</v>
      </c>
      <c r="I123" t="s">
        <v>45</v>
      </c>
      <c r="J123">
        <v>50</v>
      </c>
      <c r="K123" t="b">
        <f>FALSE()</f>
        <v>0</v>
      </c>
      <c r="L123" t="s">
        <v>21</v>
      </c>
      <c r="M123" t="s">
        <v>22</v>
      </c>
    </row>
    <row r="124" spans="1:13" x14ac:dyDescent="0.3">
      <c r="A124" t="s">
        <v>174</v>
      </c>
      <c r="B124" s="4">
        <v>31121</v>
      </c>
      <c r="C124">
        <v>1985</v>
      </c>
      <c r="D124">
        <v>3</v>
      </c>
      <c r="E124" t="s">
        <v>16</v>
      </c>
      <c r="F124" t="s">
        <v>41</v>
      </c>
      <c r="G124" t="s">
        <v>18</v>
      </c>
      <c r="H124" t="s">
        <v>27</v>
      </c>
      <c r="I124" t="s">
        <v>104</v>
      </c>
      <c r="J124">
        <v>50</v>
      </c>
      <c r="K124" t="b">
        <f>FALSE()</f>
        <v>0</v>
      </c>
      <c r="L124" t="s">
        <v>29</v>
      </c>
      <c r="M124" t="s">
        <v>22</v>
      </c>
    </row>
    <row r="125" spans="1:13" x14ac:dyDescent="0.3">
      <c r="A125" t="s">
        <v>175</v>
      </c>
      <c r="B125" s="4">
        <v>31182</v>
      </c>
      <c r="C125">
        <v>1985</v>
      </c>
      <c r="D125">
        <v>5</v>
      </c>
      <c r="E125" t="s">
        <v>16</v>
      </c>
      <c r="F125" t="s">
        <v>17</v>
      </c>
      <c r="G125" t="s">
        <v>18</v>
      </c>
      <c r="H125" t="s">
        <v>19</v>
      </c>
      <c r="I125" t="s">
        <v>45</v>
      </c>
      <c r="J125">
        <v>50</v>
      </c>
      <c r="K125" t="b">
        <f>FALSE()</f>
        <v>0</v>
      </c>
      <c r="L125" t="s">
        <v>21</v>
      </c>
      <c r="M125" t="s">
        <v>22</v>
      </c>
    </row>
    <row r="126" spans="1:13" x14ac:dyDescent="0.3">
      <c r="A126" t="s">
        <v>176</v>
      </c>
      <c r="B126" s="4">
        <v>31208</v>
      </c>
      <c r="C126">
        <v>1985</v>
      </c>
      <c r="D126">
        <v>6</v>
      </c>
      <c r="E126" t="s">
        <v>16</v>
      </c>
      <c r="F126" t="s">
        <v>17</v>
      </c>
      <c r="G126" t="s">
        <v>18</v>
      </c>
      <c r="H126" t="s">
        <v>19</v>
      </c>
      <c r="I126" t="s">
        <v>45</v>
      </c>
      <c r="J126">
        <v>50</v>
      </c>
      <c r="K126" t="b">
        <f>FALSE()</f>
        <v>0</v>
      </c>
      <c r="L126" t="s">
        <v>21</v>
      </c>
      <c r="M126" t="s">
        <v>22</v>
      </c>
    </row>
    <row r="127" spans="1:13" x14ac:dyDescent="0.3">
      <c r="A127" t="s">
        <v>177</v>
      </c>
      <c r="B127" s="4">
        <v>31274</v>
      </c>
      <c r="C127">
        <v>1985</v>
      </c>
      <c r="D127">
        <v>8</v>
      </c>
      <c r="E127" t="s">
        <v>16</v>
      </c>
      <c r="F127" t="s">
        <v>17</v>
      </c>
      <c r="G127" t="s">
        <v>18</v>
      </c>
      <c r="H127" t="s">
        <v>19</v>
      </c>
      <c r="I127" t="s">
        <v>45</v>
      </c>
      <c r="J127">
        <v>50</v>
      </c>
      <c r="K127" t="b">
        <f>FALSE()</f>
        <v>0</v>
      </c>
      <c r="L127" t="s">
        <v>21</v>
      </c>
      <c r="M127" t="s">
        <v>22</v>
      </c>
    </row>
    <row r="128" spans="1:13" x14ac:dyDescent="0.3">
      <c r="A128" t="s">
        <v>178</v>
      </c>
      <c r="B128" s="4">
        <v>31366</v>
      </c>
      <c r="C128">
        <v>1985</v>
      </c>
      <c r="D128">
        <v>11</v>
      </c>
      <c r="E128" t="s">
        <v>16</v>
      </c>
      <c r="F128" t="s">
        <v>17</v>
      </c>
      <c r="G128" t="s">
        <v>18</v>
      </c>
      <c r="H128" t="s">
        <v>19</v>
      </c>
      <c r="I128" t="s">
        <v>45</v>
      </c>
      <c r="J128">
        <v>50</v>
      </c>
      <c r="K128" t="b">
        <f>FALSE()</f>
        <v>0</v>
      </c>
      <c r="L128" t="s">
        <v>21</v>
      </c>
      <c r="M128" t="s">
        <v>22</v>
      </c>
    </row>
    <row r="129" spans="1:13" x14ac:dyDescent="0.3">
      <c r="A129" t="s">
        <v>179</v>
      </c>
      <c r="B129" s="4">
        <v>31440</v>
      </c>
      <c r="C129">
        <v>1986</v>
      </c>
      <c r="D129">
        <v>1</v>
      </c>
      <c r="E129" t="s">
        <v>25</v>
      </c>
      <c r="F129" t="s">
        <v>41</v>
      </c>
      <c r="G129" t="s">
        <v>18</v>
      </c>
      <c r="H129" t="s">
        <v>27</v>
      </c>
      <c r="I129" t="s">
        <v>141</v>
      </c>
      <c r="J129">
        <v>450</v>
      </c>
      <c r="K129" t="b">
        <f>TRUE()</f>
        <v>1</v>
      </c>
      <c r="L129" t="s">
        <v>53</v>
      </c>
      <c r="M129" t="s">
        <v>22</v>
      </c>
    </row>
    <row r="130" spans="1:13" x14ac:dyDescent="0.3">
      <c r="A130" t="s">
        <v>180</v>
      </c>
      <c r="B130" s="4">
        <v>31453</v>
      </c>
      <c r="C130">
        <v>1986</v>
      </c>
      <c r="D130">
        <v>2</v>
      </c>
      <c r="E130" t="s">
        <v>16</v>
      </c>
      <c r="F130" t="s">
        <v>17</v>
      </c>
      <c r="G130" t="s">
        <v>18</v>
      </c>
      <c r="H130" t="s">
        <v>19</v>
      </c>
      <c r="I130" t="s">
        <v>45</v>
      </c>
      <c r="J130">
        <v>50</v>
      </c>
      <c r="K130" t="b">
        <f>FALSE()</f>
        <v>0</v>
      </c>
      <c r="L130" t="s">
        <v>21</v>
      </c>
      <c r="M130" t="s">
        <v>22</v>
      </c>
    </row>
    <row r="131" spans="1:13" x14ac:dyDescent="0.3">
      <c r="A131" t="s">
        <v>181</v>
      </c>
      <c r="B131" s="4">
        <v>31455</v>
      </c>
      <c r="C131">
        <v>1986</v>
      </c>
      <c r="D131">
        <v>2</v>
      </c>
      <c r="E131" t="s">
        <v>16</v>
      </c>
      <c r="F131" t="s">
        <v>58</v>
      </c>
      <c r="G131" t="s">
        <v>18</v>
      </c>
      <c r="H131" t="s">
        <v>59</v>
      </c>
      <c r="I131" t="s">
        <v>60</v>
      </c>
      <c r="J131">
        <v>70</v>
      </c>
      <c r="K131" t="b">
        <f>FALSE()</f>
        <v>0</v>
      </c>
      <c r="L131" t="s">
        <v>61</v>
      </c>
      <c r="M131" t="s">
        <v>22</v>
      </c>
    </row>
    <row r="132" spans="1:13" x14ac:dyDescent="0.3">
      <c r="A132" t="s">
        <v>182</v>
      </c>
      <c r="B132" s="4">
        <v>31458</v>
      </c>
      <c r="C132">
        <v>1986</v>
      </c>
      <c r="D132">
        <v>2</v>
      </c>
      <c r="E132" t="s">
        <v>16</v>
      </c>
      <c r="F132" t="s">
        <v>17</v>
      </c>
      <c r="G132" t="s">
        <v>18</v>
      </c>
      <c r="H132" t="s">
        <v>19</v>
      </c>
      <c r="I132" t="s">
        <v>45</v>
      </c>
      <c r="J132">
        <v>50</v>
      </c>
      <c r="K132" t="b">
        <f>FALSE()</f>
        <v>0</v>
      </c>
      <c r="L132" t="s">
        <v>21</v>
      </c>
      <c r="M132" t="s">
        <v>22</v>
      </c>
    </row>
    <row r="133" spans="1:13" x14ac:dyDescent="0.3">
      <c r="A133" t="s">
        <v>183</v>
      </c>
      <c r="B133" s="4">
        <v>31486</v>
      </c>
      <c r="C133">
        <v>1986</v>
      </c>
      <c r="D133">
        <v>3</v>
      </c>
      <c r="E133" t="s">
        <v>16</v>
      </c>
      <c r="F133" t="s">
        <v>41</v>
      </c>
      <c r="G133" t="s">
        <v>18</v>
      </c>
      <c r="H133" t="s">
        <v>27</v>
      </c>
      <c r="I133" t="s">
        <v>104</v>
      </c>
      <c r="J133">
        <v>50</v>
      </c>
      <c r="K133" t="b">
        <f>FALSE()</f>
        <v>0</v>
      </c>
      <c r="L133" t="s">
        <v>29</v>
      </c>
      <c r="M133" t="s">
        <v>22</v>
      </c>
    </row>
    <row r="134" spans="1:13" x14ac:dyDescent="0.3">
      <c r="A134" t="s">
        <v>184</v>
      </c>
      <c r="B134" s="4">
        <v>31547</v>
      </c>
      <c r="C134">
        <v>1986</v>
      </c>
      <c r="D134">
        <v>5</v>
      </c>
      <c r="E134" t="s">
        <v>16</v>
      </c>
      <c r="F134" t="s">
        <v>17</v>
      </c>
      <c r="G134" t="s">
        <v>18</v>
      </c>
      <c r="H134" t="s">
        <v>19</v>
      </c>
      <c r="I134" t="s">
        <v>45</v>
      </c>
      <c r="J134">
        <v>50</v>
      </c>
      <c r="K134" t="b">
        <f>FALSE()</f>
        <v>0</v>
      </c>
      <c r="L134" t="s">
        <v>21</v>
      </c>
      <c r="M134" t="s">
        <v>22</v>
      </c>
    </row>
    <row r="135" spans="1:13" x14ac:dyDescent="0.3">
      <c r="A135" t="s">
        <v>185</v>
      </c>
      <c r="B135" s="4">
        <v>31573</v>
      </c>
      <c r="C135">
        <v>1986</v>
      </c>
      <c r="D135">
        <v>6</v>
      </c>
      <c r="E135" t="s">
        <v>16</v>
      </c>
      <c r="F135" t="s">
        <v>17</v>
      </c>
      <c r="G135" t="s">
        <v>18</v>
      </c>
      <c r="H135" t="s">
        <v>19</v>
      </c>
      <c r="I135" t="s">
        <v>45</v>
      </c>
      <c r="J135">
        <v>50</v>
      </c>
      <c r="K135" t="b">
        <f>FALSE()</f>
        <v>0</v>
      </c>
      <c r="L135" t="s">
        <v>21</v>
      </c>
      <c r="M135" t="s">
        <v>22</v>
      </c>
    </row>
    <row r="136" spans="1:13" x14ac:dyDescent="0.3">
      <c r="A136" t="s">
        <v>186</v>
      </c>
      <c r="B136" s="4">
        <v>31639</v>
      </c>
      <c r="C136">
        <v>1986</v>
      </c>
      <c r="D136">
        <v>8</v>
      </c>
      <c r="E136" t="s">
        <v>16</v>
      </c>
      <c r="F136" t="s">
        <v>17</v>
      </c>
      <c r="G136" t="s">
        <v>18</v>
      </c>
      <c r="H136" t="s">
        <v>19</v>
      </c>
      <c r="I136" t="s">
        <v>45</v>
      </c>
      <c r="J136">
        <v>50</v>
      </c>
      <c r="K136" t="b">
        <f>FALSE()</f>
        <v>0</v>
      </c>
      <c r="L136" t="s">
        <v>21</v>
      </c>
      <c r="M136" t="s">
        <v>22</v>
      </c>
    </row>
    <row r="137" spans="1:13" x14ac:dyDescent="0.3">
      <c r="A137" t="s">
        <v>187</v>
      </c>
      <c r="B137" s="4">
        <v>31731</v>
      </c>
      <c r="C137">
        <v>1986</v>
      </c>
      <c r="D137">
        <v>11</v>
      </c>
      <c r="E137" t="s">
        <v>16</v>
      </c>
      <c r="F137" t="s">
        <v>17</v>
      </c>
      <c r="G137" t="s">
        <v>18</v>
      </c>
      <c r="H137" t="s">
        <v>19</v>
      </c>
      <c r="I137" t="s">
        <v>45</v>
      </c>
      <c r="J137">
        <v>50</v>
      </c>
      <c r="K137" t="b">
        <f>FALSE()</f>
        <v>0</v>
      </c>
      <c r="L137" t="s">
        <v>21</v>
      </c>
      <c r="M137" t="s">
        <v>22</v>
      </c>
    </row>
    <row r="138" spans="1:13" x14ac:dyDescent="0.3">
      <c r="A138" t="s">
        <v>188</v>
      </c>
      <c r="B138" s="4">
        <v>31818</v>
      </c>
      <c r="C138">
        <v>1987</v>
      </c>
      <c r="D138">
        <v>2</v>
      </c>
      <c r="E138" t="s">
        <v>16</v>
      </c>
      <c r="F138" t="s">
        <v>17</v>
      </c>
      <c r="G138" t="s">
        <v>18</v>
      </c>
      <c r="H138" t="s">
        <v>19</v>
      </c>
      <c r="I138" t="s">
        <v>45</v>
      </c>
      <c r="J138">
        <v>50</v>
      </c>
      <c r="K138" t="b">
        <f>FALSE()</f>
        <v>0</v>
      </c>
      <c r="L138" t="s">
        <v>21</v>
      </c>
      <c r="M138" t="s">
        <v>22</v>
      </c>
    </row>
    <row r="139" spans="1:13" x14ac:dyDescent="0.3">
      <c r="A139" t="s">
        <v>189</v>
      </c>
      <c r="B139" s="4">
        <v>31820</v>
      </c>
      <c r="C139">
        <v>1987</v>
      </c>
      <c r="D139">
        <v>2</v>
      </c>
      <c r="E139" t="s">
        <v>16</v>
      </c>
      <c r="F139" t="s">
        <v>58</v>
      </c>
      <c r="G139" t="s">
        <v>18</v>
      </c>
      <c r="H139" t="s">
        <v>59</v>
      </c>
      <c r="I139" t="s">
        <v>60</v>
      </c>
      <c r="J139">
        <v>70</v>
      </c>
      <c r="K139" t="b">
        <f>FALSE()</f>
        <v>0</v>
      </c>
      <c r="L139" t="s">
        <v>61</v>
      </c>
      <c r="M139" t="s">
        <v>22</v>
      </c>
    </row>
    <row r="140" spans="1:13" x14ac:dyDescent="0.3">
      <c r="A140" t="s">
        <v>190</v>
      </c>
      <c r="B140" s="4">
        <v>31823</v>
      </c>
      <c r="C140">
        <v>1987</v>
      </c>
      <c r="D140">
        <v>2</v>
      </c>
      <c r="E140" t="s">
        <v>16</v>
      </c>
      <c r="F140" t="s">
        <v>17</v>
      </c>
      <c r="G140" t="s">
        <v>18</v>
      </c>
      <c r="H140" t="s">
        <v>19</v>
      </c>
      <c r="I140" t="s">
        <v>45</v>
      </c>
      <c r="J140">
        <v>50</v>
      </c>
      <c r="K140" t="b">
        <f>FALSE()</f>
        <v>0</v>
      </c>
      <c r="L140" t="s">
        <v>21</v>
      </c>
      <c r="M140" t="s">
        <v>22</v>
      </c>
    </row>
    <row r="141" spans="1:13" x14ac:dyDescent="0.3">
      <c r="A141" t="s">
        <v>191</v>
      </c>
      <c r="B141" s="4">
        <v>31851</v>
      </c>
      <c r="C141">
        <v>1987</v>
      </c>
      <c r="D141">
        <v>3</v>
      </c>
      <c r="E141" t="s">
        <v>16</v>
      </c>
      <c r="F141" t="s">
        <v>41</v>
      </c>
      <c r="G141" t="s">
        <v>18</v>
      </c>
      <c r="H141" t="s">
        <v>27</v>
      </c>
      <c r="I141" t="s">
        <v>104</v>
      </c>
      <c r="J141">
        <v>50</v>
      </c>
      <c r="K141" t="b">
        <f>FALSE()</f>
        <v>0</v>
      </c>
      <c r="L141" t="s">
        <v>29</v>
      </c>
      <c r="M141" t="s">
        <v>22</v>
      </c>
    </row>
    <row r="142" spans="1:13" x14ac:dyDescent="0.3">
      <c r="A142" t="s">
        <v>192</v>
      </c>
      <c r="B142" s="4">
        <v>31912</v>
      </c>
      <c r="C142">
        <v>1987</v>
      </c>
      <c r="D142">
        <v>5</v>
      </c>
      <c r="E142" t="s">
        <v>16</v>
      </c>
      <c r="F142" t="s">
        <v>17</v>
      </c>
      <c r="G142" t="s">
        <v>18</v>
      </c>
      <c r="H142" t="s">
        <v>19</v>
      </c>
      <c r="I142" t="s">
        <v>45</v>
      </c>
      <c r="J142">
        <v>50</v>
      </c>
      <c r="K142" t="b">
        <f>FALSE()</f>
        <v>0</v>
      </c>
      <c r="L142" t="s">
        <v>21</v>
      </c>
      <c r="M142" t="s">
        <v>22</v>
      </c>
    </row>
    <row r="143" spans="1:13" x14ac:dyDescent="0.3">
      <c r="A143" t="s">
        <v>193</v>
      </c>
      <c r="B143" s="4">
        <v>31938</v>
      </c>
      <c r="C143">
        <v>1987</v>
      </c>
      <c r="D143">
        <v>6</v>
      </c>
      <c r="E143" t="s">
        <v>16</v>
      </c>
      <c r="F143" t="s">
        <v>17</v>
      </c>
      <c r="G143" t="s">
        <v>18</v>
      </c>
      <c r="H143" t="s">
        <v>19</v>
      </c>
      <c r="I143" t="s">
        <v>45</v>
      </c>
      <c r="J143">
        <v>50</v>
      </c>
      <c r="K143" t="b">
        <f>FALSE()</f>
        <v>0</v>
      </c>
      <c r="L143" t="s">
        <v>21</v>
      </c>
      <c r="M143" t="s">
        <v>22</v>
      </c>
    </row>
    <row r="144" spans="1:13" x14ac:dyDescent="0.3">
      <c r="A144" t="s">
        <v>194</v>
      </c>
      <c r="B144" s="4">
        <v>32004</v>
      </c>
      <c r="C144">
        <v>1987</v>
      </c>
      <c r="D144">
        <v>8</v>
      </c>
      <c r="E144" t="s">
        <v>16</v>
      </c>
      <c r="F144" t="s">
        <v>17</v>
      </c>
      <c r="G144" t="s">
        <v>18</v>
      </c>
      <c r="H144" t="s">
        <v>19</v>
      </c>
      <c r="I144" t="s">
        <v>45</v>
      </c>
      <c r="J144">
        <v>50</v>
      </c>
      <c r="K144" t="b">
        <f>FALSE()</f>
        <v>0</v>
      </c>
      <c r="L144" t="s">
        <v>21</v>
      </c>
      <c r="M144" t="s">
        <v>22</v>
      </c>
    </row>
    <row r="145" spans="1:13" x14ac:dyDescent="0.3">
      <c r="A145" t="s">
        <v>195</v>
      </c>
      <c r="B145" s="4">
        <v>32096</v>
      </c>
      <c r="C145">
        <v>1987</v>
      </c>
      <c r="D145">
        <v>11</v>
      </c>
      <c r="E145" t="s">
        <v>16</v>
      </c>
      <c r="F145" t="s">
        <v>17</v>
      </c>
      <c r="G145" t="s">
        <v>18</v>
      </c>
      <c r="H145" t="s">
        <v>19</v>
      </c>
      <c r="I145" t="s">
        <v>45</v>
      </c>
      <c r="J145">
        <v>50</v>
      </c>
      <c r="K145" t="b">
        <f>FALSE()</f>
        <v>0</v>
      </c>
      <c r="L145" t="s">
        <v>21</v>
      </c>
      <c r="M145" t="s">
        <v>22</v>
      </c>
    </row>
    <row r="146" spans="1:13" x14ac:dyDescent="0.3">
      <c r="A146" t="s">
        <v>196</v>
      </c>
      <c r="B146" s="4">
        <v>32183</v>
      </c>
      <c r="C146">
        <v>1988</v>
      </c>
      <c r="D146">
        <v>2</v>
      </c>
      <c r="E146" t="s">
        <v>16</v>
      </c>
      <c r="F146" t="s">
        <v>17</v>
      </c>
      <c r="G146" t="s">
        <v>18</v>
      </c>
      <c r="H146" t="s">
        <v>19</v>
      </c>
      <c r="I146" t="s">
        <v>45</v>
      </c>
      <c r="J146">
        <v>50</v>
      </c>
      <c r="K146" t="b">
        <f>FALSE()</f>
        <v>0</v>
      </c>
      <c r="L146" t="s">
        <v>21</v>
      </c>
      <c r="M146" t="s">
        <v>22</v>
      </c>
    </row>
    <row r="147" spans="1:13" x14ac:dyDescent="0.3">
      <c r="A147" t="s">
        <v>197</v>
      </c>
      <c r="B147" s="4">
        <v>32185</v>
      </c>
      <c r="C147">
        <v>1988</v>
      </c>
      <c r="D147">
        <v>2</v>
      </c>
      <c r="E147" t="s">
        <v>16</v>
      </c>
      <c r="F147" t="s">
        <v>58</v>
      </c>
      <c r="G147" t="s">
        <v>18</v>
      </c>
      <c r="H147" t="s">
        <v>59</v>
      </c>
      <c r="I147" t="s">
        <v>60</v>
      </c>
      <c r="J147">
        <v>70</v>
      </c>
      <c r="K147" t="b">
        <f>FALSE()</f>
        <v>0</v>
      </c>
      <c r="L147" t="s">
        <v>61</v>
      </c>
      <c r="M147" t="s">
        <v>22</v>
      </c>
    </row>
    <row r="148" spans="1:13" x14ac:dyDescent="0.3">
      <c r="A148" t="s">
        <v>198</v>
      </c>
      <c r="B148" s="4">
        <v>32188</v>
      </c>
      <c r="C148">
        <v>1988</v>
      </c>
      <c r="D148">
        <v>2</v>
      </c>
      <c r="E148" t="s">
        <v>16</v>
      </c>
      <c r="F148" t="s">
        <v>17</v>
      </c>
      <c r="G148" t="s">
        <v>18</v>
      </c>
      <c r="H148" t="s">
        <v>19</v>
      </c>
      <c r="I148" t="s">
        <v>45</v>
      </c>
      <c r="J148">
        <v>50</v>
      </c>
      <c r="K148" t="b">
        <f>FALSE()</f>
        <v>0</v>
      </c>
      <c r="L148" t="s">
        <v>21</v>
      </c>
      <c r="M148" t="s">
        <v>22</v>
      </c>
    </row>
    <row r="149" spans="1:13" x14ac:dyDescent="0.3">
      <c r="A149" t="s">
        <v>199</v>
      </c>
      <c r="B149" s="4">
        <v>32217</v>
      </c>
      <c r="C149">
        <v>1988</v>
      </c>
      <c r="D149">
        <v>3</v>
      </c>
      <c r="E149" t="s">
        <v>16</v>
      </c>
      <c r="F149" t="s">
        <v>41</v>
      </c>
      <c r="G149" t="s">
        <v>18</v>
      </c>
      <c r="H149" t="s">
        <v>27</v>
      </c>
      <c r="I149" t="s">
        <v>104</v>
      </c>
      <c r="J149">
        <v>50</v>
      </c>
      <c r="K149" t="b">
        <f>FALSE()</f>
        <v>0</v>
      </c>
      <c r="L149" t="s">
        <v>29</v>
      </c>
      <c r="M149" t="s">
        <v>22</v>
      </c>
    </row>
    <row r="150" spans="1:13" x14ac:dyDescent="0.3">
      <c r="A150" t="s">
        <v>200</v>
      </c>
      <c r="B150" s="4">
        <v>32278</v>
      </c>
      <c r="C150">
        <v>1988</v>
      </c>
      <c r="D150">
        <v>5</v>
      </c>
      <c r="E150" t="s">
        <v>16</v>
      </c>
      <c r="F150" t="s">
        <v>17</v>
      </c>
      <c r="G150" t="s">
        <v>18</v>
      </c>
      <c r="H150" t="s">
        <v>19</v>
      </c>
      <c r="I150" t="s">
        <v>45</v>
      </c>
      <c r="J150">
        <v>50</v>
      </c>
      <c r="K150" t="b">
        <f>FALSE()</f>
        <v>0</v>
      </c>
      <c r="L150" t="s">
        <v>21</v>
      </c>
      <c r="M150" t="s">
        <v>22</v>
      </c>
    </row>
    <row r="151" spans="1:13" x14ac:dyDescent="0.3">
      <c r="A151" t="s">
        <v>201</v>
      </c>
      <c r="B151" s="4">
        <v>32304</v>
      </c>
      <c r="C151">
        <v>1988</v>
      </c>
      <c r="D151">
        <v>6</v>
      </c>
      <c r="E151" t="s">
        <v>16</v>
      </c>
      <c r="F151" t="s">
        <v>17</v>
      </c>
      <c r="G151" t="s">
        <v>18</v>
      </c>
      <c r="H151" t="s">
        <v>19</v>
      </c>
      <c r="I151" t="s">
        <v>45</v>
      </c>
      <c r="J151">
        <v>50</v>
      </c>
      <c r="K151" t="b">
        <f>FALSE()</f>
        <v>0</v>
      </c>
      <c r="L151" t="s">
        <v>21</v>
      </c>
      <c r="M151" t="s">
        <v>22</v>
      </c>
    </row>
    <row r="152" spans="1:13" x14ac:dyDescent="0.3">
      <c r="A152" t="s">
        <v>202</v>
      </c>
      <c r="B152" s="4">
        <v>32370</v>
      </c>
      <c r="C152">
        <v>1988</v>
      </c>
      <c r="D152">
        <v>8</v>
      </c>
      <c r="E152" t="s">
        <v>16</v>
      </c>
      <c r="F152" t="s">
        <v>17</v>
      </c>
      <c r="G152" t="s">
        <v>18</v>
      </c>
      <c r="H152" t="s">
        <v>19</v>
      </c>
      <c r="I152" t="s">
        <v>45</v>
      </c>
      <c r="J152">
        <v>50</v>
      </c>
      <c r="K152" t="b">
        <f>FALSE()</f>
        <v>0</v>
      </c>
      <c r="L152" t="s">
        <v>21</v>
      </c>
      <c r="M152" t="s">
        <v>22</v>
      </c>
    </row>
    <row r="153" spans="1:13" x14ac:dyDescent="0.3">
      <c r="A153" t="s">
        <v>203</v>
      </c>
      <c r="B153" s="4">
        <v>32462</v>
      </c>
      <c r="C153">
        <v>1988</v>
      </c>
      <c r="D153">
        <v>11</v>
      </c>
      <c r="E153" t="s">
        <v>16</v>
      </c>
      <c r="F153" t="s">
        <v>17</v>
      </c>
      <c r="G153" t="s">
        <v>18</v>
      </c>
      <c r="H153" t="s">
        <v>19</v>
      </c>
      <c r="I153" t="s">
        <v>45</v>
      </c>
      <c r="J153">
        <v>50</v>
      </c>
      <c r="K153" t="b">
        <f>FALSE()</f>
        <v>0</v>
      </c>
      <c r="L153" t="s">
        <v>21</v>
      </c>
      <c r="M153" t="s">
        <v>22</v>
      </c>
    </row>
    <row r="154" spans="1:13" x14ac:dyDescent="0.3">
      <c r="A154" t="s">
        <v>204</v>
      </c>
      <c r="B154" s="4">
        <v>32549</v>
      </c>
      <c r="C154">
        <v>1989</v>
      </c>
      <c r="D154">
        <v>2</v>
      </c>
      <c r="E154" t="s">
        <v>16</v>
      </c>
      <c r="F154" t="s">
        <v>17</v>
      </c>
      <c r="G154" t="s">
        <v>18</v>
      </c>
      <c r="H154" t="s">
        <v>19</v>
      </c>
      <c r="I154" t="s">
        <v>45</v>
      </c>
      <c r="J154">
        <v>50</v>
      </c>
      <c r="K154" t="b">
        <f>FALSE()</f>
        <v>0</v>
      </c>
      <c r="L154" t="s">
        <v>21</v>
      </c>
      <c r="M154" t="s">
        <v>22</v>
      </c>
    </row>
    <row r="155" spans="1:13" x14ac:dyDescent="0.3">
      <c r="A155" t="s">
        <v>205</v>
      </c>
      <c r="B155" s="4">
        <v>32551</v>
      </c>
      <c r="C155">
        <v>1989</v>
      </c>
      <c r="D155">
        <v>2</v>
      </c>
      <c r="E155" t="s">
        <v>16</v>
      </c>
      <c r="F155" t="s">
        <v>58</v>
      </c>
      <c r="G155" t="s">
        <v>18</v>
      </c>
      <c r="H155" t="s">
        <v>59</v>
      </c>
      <c r="I155" t="s">
        <v>60</v>
      </c>
      <c r="J155">
        <v>70</v>
      </c>
      <c r="K155" t="b">
        <f>FALSE()</f>
        <v>0</v>
      </c>
      <c r="L155" t="s">
        <v>61</v>
      </c>
      <c r="M155" t="s">
        <v>22</v>
      </c>
    </row>
    <row r="156" spans="1:13" x14ac:dyDescent="0.3">
      <c r="A156" t="s">
        <v>206</v>
      </c>
      <c r="B156" s="4">
        <v>32554</v>
      </c>
      <c r="C156">
        <v>1989</v>
      </c>
      <c r="D156">
        <v>2</v>
      </c>
      <c r="E156" t="s">
        <v>16</v>
      </c>
      <c r="F156" t="s">
        <v>17</v>
      </c>
      <c r="G156" t="s">
        <v>18</v>
      </c>
      <c r="H156" t="s">
        <v>19</v>
      </c>
      <c r="I156" t="s">
        <v>45</v>
      </c>
      <c r="J156">
        <v>50</v>
      </c>
      <c r="K156" t="b">
        <f>FALSE()</f>
        <v>0</v>
      </c>
      <c r="L156" t="s">
        <v>21</v>
      </c>
      <c r="M156" t="s">
        <v>22</v>
      </c>
    </row>
    <row r="157" spans="1:13" x14ac:dyDescent="0.3">
      <c r="A157" t="s">
        <v>207</v>
      </c>
      <c r="B157" s="4">
        <v>32582</v>
      </c>
      <c r="C157">
        <v>1989</v>
      </c>
      <c r="D157">
        <v>3</v>
      </c>
      <c r="E157" t="s">
        <v>16</v>
      </c>
      <c r="F157" t="s">
        <v>41</v>
      </c>
      <c r="G157" t="s">
        <v>18</v>
      </c>
      <c r="H157" t="s">
        <v>27</v>
      </c>
      <c r="I157" t="s">
        <v>104</v>
      </c>
      <c r="J157">
        <v>50</v>
      </c>
      <c r="K157" t="b">
        <f>FALSE()</f>
        <v>0</v>
      </c>
      <c r="L157" t="s">
        <v>29</v>
      </c>
      <c r="M157" t="s">
        <v>22</v>
      </c>
    </row>
    <row r="158" spans="1:13" x14ac:dyDescent="0.3">
      <c r="A158" t="s">
        <v>208</v>
      </c>
      <c r="B158" s="4">
        <v>32643</v>
      </c>
      <c r="C158">
        <v>1989</v>
      </c>
      <c r="D158">
        <v>5</v>
      </c>
      <c r="E158" t="s">
        <v>16</v>
      </c>
      <c r="F158" t="s">
        <v>17</v>
      </c>
      <c r="G158" t="s">
        <v>18</v>
      </c>
      <c r="H158" t="s">
        <v>19</v>
      </c>
      <c r="I158" t="s">
        <v>45</v>
      </c>
      <c r="J158">
        <v>50</v>
      </c>
      <c r="K158" t="b">
        <f>FALSE()</f>
        <v>0</v>
      </c>
      <c r="L158" t="s">
        <v>21</v>
      </c>
      <c r="M158" t="s">
        <v>22</v>
      </c>
    </row>
    <row r="159" spans="1:13" x14ac:dyDescent="0.3">
      <c r="A159" t="s">
        <v>209</v>
      </c>
      <c r="B159" s="4">
        <v>32669</v>
      </c>
      <c r="C159">
        <v>1989</v>
      </c>
      <c r="D159">
        <v>6</v>
      </c>
      <c r="E159" t="s">
        <v>16</v>
      </c>
      <c r="F159" t="s">
        <v>17</v>
      </c>
      <c r="G159" t="s">
        <v>18</v>
      </c>
      <c r="H159" t="s">
        <v>19</v>
      </c>
      <c r="I159" t="s">
        <v>45</v>
      </c>
      <c r="J159">
        <v>50</v>
      </c>
      <c r="K159" t="b">
        <f>FALSE()</f>
        <v>0</v>
      </c>
      <c r="L159" t="s">
        <v>21</v>
      </c>
      <c r="M159" t="s">
        <v>22</v>
      </c>
    </row>
    <row r="160" spans="1:13" x14ac:dyDescent="0.3">
      <c r="A160" t="s">
        <v>210</v>
      </c>
      <c r="B160" s="4">
        <v>32735</v>
      </c>
      <c r="C160">
        <v>1989</v>
      </c>
      <c r="D160">
        <v>8</v>
      </c>
      <c r="E160" t="s">
        <v>16</v>
      </c>
      <c r="F160" t="s">
        <v>17</v>
      </c>
      <c r="G160" t="s">
        <v>18</v>
      </c>
      <c r="H160" t="s">
        <v>19</v>
      </c>
      <c r="I160" t="s">
        <v>45</v>
      </c>
      <c r="J160">
        <v>50</v>
      </c>
      <c r="K160" t="b">
        <f>FALSE()</f>
        <v>0</v>
      </c>
      <c r="L160" t="s">
        <v>21</v>
      </c>
      <c r="M160" t="s">
        <v>22</v>
      </c>
    </row>
    <row r="161" spans="1:13" x14ac:dyDescent="0.3">
      <c r="A161" t="s">
        <v>211</v>
      </c>
      <c r="B161" s="4">
        <v>32827</v>
      </c>
      <c r="C161">
        <v>1989</v>
      </c>
      <c r="D161">
        <v>11</v>
      </c>
      <c r="E161" t="s">
        <v>16</v>
      </c>
      <c r="F161" t="s">
        <v>17</v>
      </c>
      <c r="G161" t="s">
        <v>18</v>
      </c>
      <c r="H161" t="s">
        <v>19</v>
      </c>
      <c r="I161" t="s">
        <v>45</v>
      </c>
      <c r="J161">
        <v>50</v>
      </c>
      <c r="K161" t="b">
        <f>FALSE()</f>
        <v>0</v>
      </c>
      <c r="L161" t="s">
        <v>21</v>
      </c>
      <c r="M161" t="s">
        <v>22</v>
      </c>
    </row>
    <row r="162" spans="1:13" x14ac:dyDescent="0.3">
      <c r="A162" t="s">
        <v>212</v>
      </c>
      <c r="B162" s="4">
        <v>32914</v>
      </c>
      <c r="C162">
        <v>1990</v>
      </c>
      <c r="D162">
        <v>2</v>
      </c>
      <c r="E162" t="s">
        <v>16</v>
      </c>
      <c r="F162" t="s">
        <v>17</v>
      </c>
      <c r="G162" t="s">
        <v>18</v>
      </c>
      <c r="H162" t="s">
        <v>19</v>
      </c>
      <c r="I162" t="s">
        <v>45</v>
      </c>
      <c r="J162">
        <v>50</v>
      </c>
      <c r="K162" t="b">
        <f>FALSE()</f>
        <v>0</v>
      </c>
      <c r="L162" t="s">
        <v>21</v>
      </c>
      <c r="M162" t="s">
        <v>22</v>
      </c>
    </row>
    <row r="163" spans="1:13" x14ac:dyDescent="0.3">
      <c r="A163" t="s">
        <v>213</v>
      </c>
      <c r="B163" s="4">
        <v>32916</v>
      </c>
      <c r="C163">
        <v>1990</v>
      </c>
      <c r="D163">
        <v>2</v>
      </c>
      <c r="E163" t="s">
        <v>16</v>
      </c>
      <c r="F163" t="s">
        <v>58</v>
      </c>
      <c r="G163" t="s">
        <v>18</v>
      </c>
      <c r="H163" t="s">
        <v>59</v>
      </c>
      <c r="I163" t="s">
        <v>214</v>
      </c>
      <c r="J163">
        <v>70</v>
      </c>
      <c r="K163" t="b">
        <f>FALSE()</f>
        <v>0</v>
      </c>
      <c r="L163" t="s">
        <v>61</v>
      </c>
      <c r="M163" t="s">
        <v>22</v>
      </c>
    </row>
    <row r="164" spans="1:13" x14ac:dyDescent="0.3">
      <c r="A164" t="s">
        <v>215</v>
      </c>
      <c r="B164" s="4">
        <v>32919</v>
      </c>
      <c r="C164">
        <v>1990</v>
      </c>
      <c r="D164">
        <v>2</v>
      </c>
      <c r="E164" t="s">
        <v>16</v>
      </c>
      <c r="F164" t="s">
        <v>17</v>
      </c>
      <c r="G164" t="s">
        <v>18</v>
      </c>
      <c r="H164" t="s">
        <v>19</v>
      </c>
      <c r="I164" t="s">
        <v>45</v>
      </c>
      <c r="J164">
        <v>50</v>
      </c>
      <c r="K164" t="b">
        <f>FALSE()</f>
        <v>0</v>
      </c>
      <c r="L164" t="s">
        <v>21</v>
      </c>
      <c r="M164" t="s">
        <v>22</v>
      </c>
    </row>
    <row r="165" spans="1:13" x14ac:dyDescent="0.3">
      <c r="A165" t="s">
        <v>216</v>
      </c>
      <c r="B165" s="4">
        <v>32947</v>
      </c>
      <c r="C165">
        <v>1990</v>
      </c>
      <c r="D165">
        <v>3</v>
      </c>
      <c r="E165" t="s">
        <v>16</v>
      </c>
      <c r="F165" t="s">
        <v>41</v>
      </c>
      <c r="G165" t="s">
        <v>18</v>
      </c>
      <c r="H165" t="s">
        <v>27</v>
      </c>
      <c r="I165" t="s">
        <v>104</v>
      </c>
      <c r="J165">
        <v>50</v>
      </c>
      <c r="K165" t="b">
        <f>FALSE()</f>
        <v>0</v>
      </c>
      <c r="L165" t="s">
        <v>29</v>
      </c>
      <c r="M165" t="s">
        <v>22</v>
      </c>
    </row>
    <row r="166" spans="1:13" x14ac:dyDescent="0.3">
      <c r="A166" t="s">
        <v>217</v>
      </c>
      <c r="B166" s="4">
        <v>32987</v>
      </c>
      <c r="C166">
        <v>1990</v>
      </c>
      <c r="D166">
        <v>4</v>
      </c>
      <c r="E166" t="s">
        <v>16</v>
      </c>
      <c r="F166" t="s">
        <v>41</v>
      </c>
      <c r="G166" t="s">
        <v>18</v>
      </c>
      <c r="H166" t="s">
        <v>27</v>
      </c>
      <c r="I166" t="s">
        <v>141</v>
      </c>
      <c r="J166">
        <v>450</v>
      </c>
      <c r="K166" t="b">
        <f>TRUE()</f>
        <v>1</v>
      </c>
      <c r="L166" t="s">
        <v>53</v>
      </c>
      <c r="M166" t="s">
        <v>22</v>
      </c>
    </row>
    <row r="167" spans="1:13" x14ac:dyDescent="0.3">
      <c r="A167" t="s">
        <v>218</v>
      </c>
      <c r="B167" s="4">
        <v>32987</v>
      </c>
      <c r="C167">
        <v>1990</v>
      </c>
      <c r="D167">
        <v>4</v>
      </c>
      <c r="E167" t="s">
        <v>16</v>
      </c>
      <c r="F167" t="s">
        <v>41</v>
      </c>
      <c r="G167" t="s">
        <v>18</v>
      </c>
      <c r="H167" t="s">
        <v>27</v>
      </c>
      <c r="I167" t="s">
        <v>141</v>
      </c>
      <c r="J167">
        <v>450</v>
      </c>
      <c r="K167" t="b">
        <f>TRUE()</f>
        <v>1</v>
      </c>
      <c r="L167" t="s">
        <v>53</v>
      </c>
      <c r="M167" t="s">
        <v>22</v>
      </c>
    </row>
    <row r="168" spans="1:13" x14ac:dyDescent="0.3">
      <c r="A168" t="s">
        <v>219</v>
      </c>
      <c r="B168" s="4">
        <v>33005</v>
      </c>
      <c r="C168">
        <v>1990</v>
      </c>
      <c r="D168">
        <v>5</v>
      </c>
      <c r="E168" t="s">
        <v>16</v>
      </c>
      <c r="F168" t="s">
        <v>58</v>
      </c>
      <c r="G168" t="s">
        <v>18</v>
      </c>
      <c r="H168" t="s">
        <v>59</v>
      </c>
      <c r="I168" t="s">
        <v>214</v>
      </c>
      <c r="J168">
        <v>70</v>
      </c>
      <c r="K168" t="b">
        <f>FALSE()</f>
        <v>0</v>
      </c>
      <c r="L168" t="s">
        <v>61</v>
      </c>
      <c r="M168" t="s">
        <v>22</v>
      </c>
    </row>
    <row r="169" spans="1:13" x14ac:dyDescent="0.3">
      <c r="A169" t="s">
        <v>220</v>
      </c>
      <c r="B169" s="4">
        <v>33008</v>
      </c>
      <c r="C169">
        <v>1990</v>
      </c>
      <c r="D169">
        <v>5</v>
      </c>
      <c r="E169" t="s">
        <v>16</v>
      </c>
      <c r="F169" t="s">
        <v>17</v>
      </c>
      <c r="G169" t="s">
        <v>18</v>
      </c>
      <c r="H169" t="s">
        <v>19</v>
      </c>
      <c r="I169" t="s">
        <v>45</v>
      </c>
      <c r="J169">
        <v>50</v>
      </c>
      <c r="K169" t="b">
        <f>FALSE()</f>
        <v>0</v>
      </c>
      <c r="L169" t="s">
        <v>21</v>
      </c>
      <c r="M169" t="s">
        <v>22</v>
      </c>
    </row>
    <row r="170" spans="1:13" x14ac:dyDescent="0.3">
      <c r="A170" t="s">
        <v>221</v>
      </c>
      <c r="B170" s="4">
        <v>33034</v>
      </c>
      <c r="C170">
        <v>1990</v>
      </c>
      <c r="D170">
        <v>6</v>
      </c>
      <c r="E170" t="s">
        <v>16</v>
      </c>
      <c r="F170" t="s">
        <v>17</v>
      </c>
      <c r="G170" t="s">
        <v>18</v>
      </c>
      <c r="H170" t="s">
        <v>19</v>
      </c>
      <c r="I170" t="s">
        <v>45</v>
      </c>
      <c r="J170">
        <v>50</v>
      </c>
      <c r="K170" t="b">
        <f>FALSE()</f>
        <v>0</v>
      </c>
      <c r="L170" t="s">
        <v>21</v>
      </c>
      <c r="M170" t="s">
        <v>22</v>
      </c>
    </row>
    <row r="171" spans="1:13" x14ac:dyDescent="0.3">
      <c r="A171" t="s">
        <v>222</v>
      </c>
      <c r="B171" s="4">
        <v>33097</v>
      </c>
      <c r="C171">
        <v>1990</v>
      </c>
      <c r="D171">
        <v>8</v>
      </c>
      <c r="E171" t="s">
        <v>16</v>
      </c>
      <c r="F171" t="s">
        <v>58</v>
      </c>
      <c r="G171" t="s">
        <v>18</v>
      </c>
      <c r="H171" t="s">
        <v>59</v>
      </c>
      <c r="I171" t="s">
        <v>214</v>
      </c>
      <c r="J171">
        <v>70</v>
      </c>
      <c r="K171" t="b">
        <f>FALSE()</f>
        <v>0</v>
      </c>
      <c r="L171" t="s">
        <v>61</v>
      </c>
      <c r="M171" t="s">
        <v>22</v>
      </c>
    </row>
    <row r="172" spans="1:13" x14ac:dyDescent="0.3">
      <c r="A172" t="s">
        <v>223</v>
      </c>
      <c r="B172" s="4">
        <v>33100</v>
      </c>
      <c r="C172">
        <v>1990</v>
      </c>
      <c r="D172">
        <v>8</v>
      </c>
      <c r="E172" t="s">
        <v>16</v>
      </c>
      <c r="F172" t="s">
        <v>17</v>
      </c>
      <c r="G172" t="s">
        <v>18</v>
      </c>
      <c r="H172" t="s">
        <v>19</v>
      </c>
      <c r="I172" t="s">
        <v>45</v>
      </c>
      <c r="J172">
        <v>50</v>
      </c>
      <c r="K172" t="b">
        <f>FALSE()</f>
        <v>0</v>
      </c>
      <c r="L172" t="s">
        <v>21</v>
      </c>
      <c r="M172" t="s">
        <v>22</v>
      </c>
    </row>
    <row r="173" spans="1:13" x14ac:dyDescent="0.3">
      <c r="A173" t="s">
        <v>224</v>
      </c>
      <c r="B173" s="4">
        <v>33192</v>
      </c>
      <c r="C173">
        <v>1990</v>
      </c>
      <c r="D173">
        <v>11</v>
      </c>
      <c r="E173" t="s">
        <v>16</v>
      </c>
      <c r="F173" t="s">
        <v>17</v>
      </c>
      <c r="G173" t="s">
        <v>18</v>
      </c>
      <c r="H173" t="s">
        <v>19</v>
      </c>
      <c r="I173" t="s">
        <v>45</v>
      </c>
      <c r="J173">
        <v>50</v>
      </c>
      <c r="K173" t="b">
        <f>FALSE()</f>
        <v>0</v>
      </c>
      <c r="L173" t="s">
        <v>21</v>
      </c>
      <c r="M173" t="s">
        <v>22</v>
      </c>
    </row>
    <row r="174" spans="1:13" x14ac:dyDescent="0.3">
      <c r="A174" t="s">
        <v>225</v>
      </c>
      <c r="B174" s="4">
        <v>33279</v>
      </c>
      <c r="C174">
        <v>1991</v>
      </c>
      <c r="D174">
        <v>2</v>
      </c>
      <c r="E174" t="s">
        <v>16</v>
      </c>
      <c r="F174" t="s">
        <v>17</v>
      </c>
      <c r="G174" t="s">
        <v>18</v>
      </c>
      <c r="H174" t="s">
        <v>19</v>
      </c>
      <c r="I174" t="s">
        <v>45</v>
      </c>
      <c r="J174">
        <v>50</v>
      </c>
      <c r="K174" t="b">
        <f>FALSE()</f>
        <v>0</v>
      </c>
      <c r="L174" t="s">
        <v>21</v>
      </c>
      <c r="M174" t="s">
        <v>22</v>
      </c>
    </row>
    <row r="175" spans="1:13" x14ac:dyDescent="0.3">
      <c r="A175" t="s">
        <v>226</v>
      </c>
      <c r="B175" s="4">
        <v>33281</v>
      </c>
      <c r="C175">
        <v>1991</v>
      </c>
      <c r="D175">
        <v>2</v>
      </c>
      <c r="E175" t="s">
        <v>16</v>
      </c>
      <c r="F175" t="s">
        <v>58</v>
      </c>
      <c r="G175" t="s">
        <v>18</v>
      </c>
      <c r="H175" t="s">
        <v>59</v>
      </c>
      <c r="I175" t="s">
        <v>214</v>
      </c>
      <c r="J175">
        <v>70</v>
      </c>
      <c r="K175" t="b">
        <f>FALSE()</f>
        <v>0</v>
      </c>
      <c r="L175" t="s">
        <v>61</v>
      </c>
      <c r="M175" t="s">
        <v>22</v>
      </c>
    </row>
    <row r="176" spans="1:13" x14ac:dyDescent="0.3">
      <c r="A176" t="s">
        <v>227</v>
      </c>
      <c r="B176" s="4">
        <v>33284</v>
      </c>
      <c r="C176">
        <v>1991</v>
      </c>
      <c r="D176">
        <v>2</v>
      </c>
      <c r="E176" t="s">
        <v>16</v>
      </c>
      <c r="F176" t="s">
        <v>17</v>
      </c>
      <c r="G176" t="s">
        <v>18</v>
      </c>
      <c r="H176" t="s">
        <v>19</v>
      </c>
      <c r="I176" t="s">
        <v>45</v>
      </c>
      <c r="J176">
        <v>50</v>
      </c>
      <c r="K176" t="b">
        <f>FALSE()</f>
        <v>0</v>
      </c>
      <c r="L176" t="s">
        <v>21</v>
      </c>
      <c r="M176" t="s">
        <v>22</v>
      </c>
    </row>
    <row r="177" spans="1:13" x14ac:dyDescent="0.3">
      <c r="A177" t="s">
        <v>228</v>
      </c>
      <c r="B177" s="4">
        <v>33312</v>
      </c>
      <c r="C177">
        <v>1991</v>
      </c>
      <c r="D177">
        <v>3</v>
      </c>
      <c r="E177" t="s">
        <v>16</v>
      </c>
      <c r="F177" t="s">
        <v>41</v>
      </c>
      <c r="G177" t="s">
        <v>18</v>
      </c>
      <c r="H177" t="s">
        <v>27</v>
      </c>
      <c r="I177" t="s">
        <v>104</v>
      </c>
      <c r="J177">
        <v>50</v>
      </c>
      <c r="K177" t="b">
        <f>FALSE()</f>
        <v>0</v>
      </c>
      <c r="L177" t="s">
        <v>29</v>
      </c>
      <c r="M177" t="s">
        <v>22</v>
      </c>
    </row>
    <row r="178" spans="1:13" x14ac:dyDescent="0.3">
      <c r="A178" t="s">
        <v>229</v>
      </c>
      <c r="B178" s="4">
        <v>33370</v>
      </c>
      <c r="C178">
        <v>1991</v>
      </c>
      <c r="D178">
        <v>5</v>
      </c>
      <c r="E178" t="s">
        <v>16</v>
      </c>
      <c r="F178" t="s">
        <v>58</v>
      </c>
      <c r="G178" t="s">
        <v>18</v>
      </c>
      <c r="H178" t="s">
        <v>59</v>
      </c>
      <c r="I178" t="s">
        <v>214</v>
      </c>
      <c r="J178">
        <v>70</v>
      </c>
      <c r="K178" t="b">
        <f>FALSE()</f>
        <v>0</v>
      </c>
      <c r="L178" t="s">
        <v>61</v>
      </c>
      <c r="M178" t="s">
        <v>22</v>
      </c>
    </row>
    <row r="179" spans="1:13" x14ac:dyDescent="0.3">
      <c r="A179" t="s">
        <v>230</v>
      </c>
      <c r="B179" s="4">
        <v>33373</v>
      </c>
      <c r="C179">
        <v>1991</v>
      </c>
      <c r="D179">
        <v>5</v>
      </c>
      <c r="E179" t="s">
        <v>16</v>
      </c>
      <c r="F179" t="s">
        <v>17</v>
      </c>
      <c r="G179" t="s">
        <v>18</v>
      </c>
      <c r="H179" t="s">
        <v>19</v>
      </c>
      <c r="I179" t="s">
        <v>45</v>
      </c>
      <c r="J179">
        <v>50</v>
      </c>
      <c r="K179" t="b">
        <f>FALSE()</f>
        <v>0</v>
      </c>
      <c r="L179" t="s">
        <v>21</v>
      </c>
      <c r="M179" t="s">
        <v>22</v>
      </c>
    </row>
    <row r="180" spans="1:13" x14ac:dyDescent="0.3">
      <c r="A180" t="s">
        <v>231</v>
      </c>
      <c r="B180" s="4">
        <v>33399</v>
      </c>
      <c r="C180">
        <v>1991</v>
      </c>
      <c r="D180">
        <v>6</v>
      </c>
      <c r="E180" t="s">
        <v>16</v>
      </c>
      <c r="F180" t="s">
        <v>17</v>
      </c>
      <c r="G180" t="s">
        <v>18</v>
      </c>
      <c r="H180" t="s">
        <v>19</v>
      </c>
      <c r="I180" t="s">
        <v>45</v>
      </c>
      <c r="J180">
        <v>50</v>
      </c>
      <c r="K180" t="b">
        <f>FALSE()</f>
        <v>0</v>
      </c>
      <c r="L180" t="s">
        <v>21</v>
      </c>
      <c r="M180" t="s">
        <v>22</v>
      </c>
    </row>
    <row r="181" spans="1:13" x14ac:dyDescent="0.3">
      <c r="A181" t="s">
        <v>232</v>
      </c>
      <c r="B181" s="4">
        <v>33462</v>
      </c>
      <c r="C181">
        <v>1991</v>
      </c>
      <c r="D181">
        <v>8</v>
      </c>
      <c r="E181" t="s">
        <v>16</v>
      </c>
      <c r="F181" t="s">
        <v>58</v>
      </c>
      <c r="G181" t="s">
        <v>18</v>
      </c>
      <c r="H181" t="s">
        <v>59</v>
      </c>
      <c r="I181" t="s">
        <v>214</v>
      </c>
      <c r="J181">
        <v>70</v>
      </c>
      <c r="K181" t="b">
        <f>FALSE()</f>
        <v>0</v>
      </c>
      <c r="L181" t="s">
        <v>61</v>
      </c>
      <c r="M181" t="s">
        <v>22</v>
      </c>
    </row>
    <row r="182" spans="1:13" x14ac:dyDescent="0.3">
      <c r="A182" t="s">
        <v>233</v>
      </c>
      <c r="B182" s="4">
        <v>33465</v>
      </c>
      <c r="C182">
        <v>1991</v>
      </c>
      <c r="D182">
        <v>8</v>
      </c>
      <c r="E182" t="s">
        <v>16</v>
      </c>
      <c r="F182" t="s">
        <v>17</v>
      </c>
      <c r="G182" t="s">
        <v>18</v>
      </c>
      <c r="H182" t="s">
        <v>19</v>
      </c>
      <c r="I182" t="s">
        <v>45</v>
      </c>
      <c r="J182">
        <v>50</v>
      </c>
      <c r="K182" t="b">
        <f>FALSE()</f>
        <v>0</v>
      </c>
      <c r="L182" t="s">
        <v>21</v>
      </c>
      <c r="M182" t="s">
        <v>22</v>
      </c>
    </row>
    <row r="183" spans="1:13" x14ac:dyDescent="0.3">
      <c r="A183" t="s">
        <v>234</v>
      </c>
      <c r="B183" s="4">
        <v>33644</v>
      </c>
      <c r="C183">
        <v>1992</v>
      </c>
      <c r="D183">
        <v>2</v>
      </c>
      <c r="E183" t="s">
        <v>16</v>
      </c>
      <c r="F183" t="s">
        <v>235</v>
      </c>
      <c r="G183" t="s">
        <v>18</v>
      </c>
      <c r="H183" t="s">
        <v>19</v>
      </c>
      <c r="I183" t="s">
        <v>45</v>
      </c>
      <c r="J183">
        <v>50</v>
      </c>
      <c r="K183" t="b">
        <f>FALSE()</f>
        <v>0</v>
      </c>
      <c r="L183" t="s">
        <v>21</v>
      </c>
      <c r="M183" t="s">
        <v>22</v>
      </c>
    </row>
    <row r="184" spans="1:13" x14ac:dyDescent="0.3">
      <c r="A184" t="s">
        <v>236</v>
      </c>
      <c r="B184" s="4">
        <v>33646</v>
      </c>
      <c r="C184">
        <v>1992</v>
      </c>
      <c r="D184">
        <v>2</v>
      </c>
      <c r="E184" t="s">
        <v>16</v>
      </c>
      <c r="F184" t="s">
        <v>58</v>
      </c>
      <c r="G184" t="s">
        <v>18</v>
      </c>
      <c r="H184" t="s">
        <v>59</v>
      </c>
      <c r="I184" t="s">
        <v>214</v>
      </c>
      <c r="J184">
        <v>70</v>
      </c>
      <c r="K184" t="b">
        <f>FALSE()</f>
        <v>0</v>
      </c>
      <c r="L184" t="s">
        <v>61</v>
      </c>
      <c r="M184" t="s">
        <v>22</v>
      </c>
    </row>
    <row r="185" spans="1:13" x14ac:dyDescent="0.3">
      <c r="A185" t="s">
        <v>237</v>
      </c>
      <c r="B185" s="4">
        <v>33649</v>
      </c>
      <c r="C185">
        <v>1992</v>
      </c>
      <c r="D185">
        <v>2</v>
      </c>
      <c r="E185" t="s">
        <v>16</v>
      </c>
      <c r="F185" t="s">
        <v>235</v>
      </c>
      <c r="G185" t="s">
        <v>18</v>
      </c>
      <c r="H185" t="s">
        <v>19</v>
      </c>
      <c r="I185" t="s">
        <v>45</v>
      </c>
      <c r="J185">
        <v>50</v>
      </c>
      <c r="K185" t="b">
        <f>FALSE()</f>
        <v>0</v>
      </c>
      <c r="L185" t="s">
        <v>21</v>
      </c>
      <c r="M185" t="s">
        <v>22</v>
      </c>
    </row>
    <row r="186" spans="1:13" x14ac:dyDescent="0.3">
      <c r="A186" t="s">
        <v>238</v>
      </c>
      <c r="B186" s="4">
        <v>33678</v>
      </c>
      <c r="C186">
        <v>1992</v>
      </c>
      <c r="D186">
        <v>3</v>
      </c>
      <c r="E186" t="s">
        <v>16</v>
      </c>
      <c r="F186" t="s">
        <v>41</v>
      </c>
      <c r="G186" t="s">
        <v>18</v>
      </c>
      <c r="H186" t="s">
        <v>27</v>
      </c>
      <c r="I186" t="s">
        <v>104</v>
      </c>
      <c r="J186">
        <v>50</v>
      </c>
      <c r="K186" t="b">
        <f>FALSE()</f>
        <v>0</v>
      </c>
      <c r="L186" t="s">
        <v>29</v>
      </c>
      <c r="M186" t="s">
        <v>22</v>
      </c>
    </row>
    <row r="187" spans="1:13" x14ac:dyDescent="0.3">
      <c r="A187" t="s">
        <v>239</v>
      </c>
      <c r="B187" s="4">
        <v>33736</v>
      </c>
      <c r="C187">
        <v>1992</v>
      </c>
      <c r="D187">
        <v>5</v>
      </c>
      <c r="E187" t="s">
        <v>16</v>
      </c>
      <c r="F187" t="s">
        <v>58</v>
      </c>
      <c r="G187" t="s">
        <v>18</v>
      </c>
      <c r="H187" t="s">
        <v>59</v>
      </c>
      <c r="I187" t="s">
        <v>214</v>
      </c>
      <c r="J187">
        <v>70</v>
      </c>
      <c r="K187" t="b">
        <f>FALSE()</f>
        <v>0</v>
      </c>
      <c r="L187" t="s">
        <v>61</v>
      </c>
      <c r="M187" t="s">
        <v>22</v>
      </c>
    </row>
    <row r="188" spans="1:13" x14ac:dyDescent="0.3">
      <c r="A188" t="s">
        <v>240</v>
      </c>
      <c r="B188" s="4">
        <v>33739</v>
      </c>
      <c r="C188">
        <v>1992</v>
      </c>
      <c r="D188">
        <v>5</v>
      </c>
      <c r="E188" t="s">
        <v>16</v>
      </c>
      <c r="F188" t="s">
        <v>235</v>
      </c>
      <c r="G188" t="s">
        <v>18</v>
      </c>
      <c r="H188" t="s">
        <v>19</v>
      </c>
      <c r="I188" t="s">
        <v>45</v>
      </c>
      <c r="J188">
        <v>50</v>
      </c>
      <c r="K188" t="b">
        <f>FALSE()</f>
        <v>0</v>
      </c>
      <c r="L188" t="s">
        <v>21</v>
      </c>
      <c r="M188" t="s">
        <v>22</v>
      </c>
    </row>
    <row r="189" spans="1:13" x14ac:dyDescent="0.3">
      <c r="A189" t="s">
        <v>241</v>
      </c>
      <c r="B189" s="4">
        <v>33765</v>
      </c>
      <c r="C189">
        <v>1992</v>
      </c>
      <c r="D189">
        <v>6</v>
      </c>
      <c r="E189" t="s">
        <v>16</v>
      </c>
      <c r="F189" t="s">
        <v>235</v>
      </c>
      <c r="G189" t="s">
        <v>18</v>
      </c>
      <c r="H189" t="s">
        <v>19</v>
      </c>
      <c r="I189" t="s">
        <v>45</v>
      </c>
      <c r="J189">
        <v>50</v>
      </c>
      <c r="K189" t="b">
        <f>FALSE()</f>
        <v>0</v>
      </c>
      <c r="L189" t="s">
        <v>21</v>
      </c>
      <c r="M189" t="s">
        <v>22</v>
      </c>
    </row>
    <row r="190" spans="1:13" x14ac:dyDescent="0.3">
      <c r="A190" t="s">
        <v>242</v>
      </c>
      <c r="B190" s="4">
        <v>33828</v>
      </c>
      <c r="C190">
        <v>1992</v>
      </c>
      <c r="D190">
        <v>8</v>
      </c>
      <c r="E190" t="s">
        <v>16</v>
      </c>
      <c r="F190" t="s">
        <v>58</v>
      </c>
      <c r="G190" t="s">
        <v>18</v>
      </c>
      <c r="H190" t="s">
        <v>59</v>
      </c>
      <c r="I190" t="s">
        <v>214</v>
      </c>
      <c r="J190">
        <v>70</v>
      </c>
      <c r="K190" t="b">
        <f>FALSE()</f>
        <v>0</v>
      </c>
      <c r="L190" t="s">
        <v>61</v>
      </c>
      <c r="M190" t="s">
        <v>22</v>
      </c>
    </row>
    <row r="191" spans="1:13" x14ac:dyDescent="0.3">
      <c r="A191" t="s">
        <v>243</v>
      </c>
      <c r="B191" s="4">
        <v>33831</v>
      </c>
      <c r="C191">
        <v>1992</v>
      </c>
      <c r="D191">
        <v>8</v>
      </c>
      <c r="E191" t="s">
        <v>16</v>
      </c>
      <c r="F191" t="s">
        <v>235</v>
      </c>
      <c r="G191" t="s">
        <v>18</v>
      </c>
      <c r="H191" t="s">
        <v>19</v>
      </c>
      <c r="I191" t="s">
        <v>45</v>
      </c>
      <c r="J191">
        <v>50</v>
      </c>
      <c r="K191" t="b">
        <f>FALSE()</f>
        <v>0</v>
      </c>
      <c r="L191" t="s">
        <v>21</v>
      </c>
      <c r="M191" t="s">
        <v>22</v>
      </c>
    </row>
    <row r="192" spans="1:13" x14ac:dyDescent="0.3">
      <c r="A192" t="s">
        <v>244</v>
      </c>
      <c r="B192" s="4">
        <v>34010</v>
      </c>
      <c r="C192">
        <v>1993</v>
      </c>
      <c r="D192">
        <v>2</v>
      </c>
      <c r="E192" t="s">
        <v>16</v>
      </c>
      <c r="F192" t="s">
        <v>235</v>
      </c>
      <c r="G192" t="s">
        <v>18</v>
      </c>
      <c r="H192" t="s">
        <v>19</v>
      </c>
      <c r="I192" t="s">
        <v>45</v>
      </c>
      <c r="J192">
        <v>50</v>
      </c>
      <c r="K192" t="b">
        <f>FALSE()</f>
        <v>0</v>
      </c>
      <c r="L192" t="s">
        <v>21</v>
      </c>
      <c r="M192" t="s">
        <v>22</v>
      </c>
    </row>
    <row r="193" spans="1:13" x14ac:dyDescent="0.3">
      <c r="A193" t="s">
        <v>245</v>
      </c>
      <c r="B193" s="4">
        <v>34012</v>
      </c>
      <c r="C193">
        <v>1993</v>
      </c>
      <c r="D193">
        <v>2</v>
      </c>
      <c r="E193" t="s">
        <v>16</v>
      </c>
      <c r="F193" t="s">
        <v>58</v>
      </c>
      <c r="G193" t="s">
        <v>18</v>
      </c>
      <c r="H193" t="s">
        <v>59</v>
      </c>
      <c r="I193" t="s">
        <v>214</v>
      </c>
      <c r="J193">
        <v>70</v>
      </c>
      <c r="K193" t="b">
        <f>FALSE()</f>
        <v>0</v>
      </c>
      <c r="L193" t="s">
        <v>61</v>
      </c>
      <c r="M193" t="s">
        <v>22</v>
      </c>
    </row>
    <row r="194" spans="1:13" x14ac:dyDescent="0.3">
      <c r="A194" t="s">
        <v>246</v>
      </c>
      <c r="B194" s="4">
        <v>34015</v>
      </c>
      <c r="C194">
        <v>1993</v>
      </c>
      <c r="D194">
        <v>2</v>
      </c>
      <c r="E194" t="s">
        <v>16</v>
      </c>
      <c r="F194" t="s">
        <v>235</v>
      </c>
      <c r="G194" t="s">
        <v>18</v>
      </c>
      <c r="H194" t="s">
        <v>19</v>
      </c>
      <c r="I194" t="s">
        <v>45</v>
      </c>
      <c r="J194">
        <v>50</v>
      </c>
      <c r="K194" t="b">
        <f>FALSE()</f>
        <v>0</v>
      </c>
      <c r="L194" t="s">
        <v>21</v>
      </c>
      <c r="M194" t="s">
        <v>22</v>
      </c>
    </row>
    <row r="195" spans="1:13" x14ac:dyDescent="0.3">
      <c r="A195" t="s">
        <v>247</v>
      </c>
      <c r="B195" s="4">
        <v>34020</v>
      </c>
      <c r="C195">
        <v>1993</v>
      </c>
      <c r="D195">
        <v>2</v>
      </c>
      <c r="E195" t="s">
        <v>25</v>
      </c>
      <c r="F195" t="s">
        <v>130</v>
      </c>
      <c r="G195" t="s">
        <v>18</v>
      </c>
      <c r="H195" t="s">
        <v>131</v>
      </c>
      <c r="I195" t="s">
        <v>248</v>
      </c>
      <c r="J195">
        <v>28</v>
      </c>
      <c r="K195" t="b">
        <f>FALSE()</f>
        <v>0</v>
      </c>
      <c r="L195" t="s">
        <v>249</v>
      </c>
      <c r="M195" t="s">
        <v>250</v>
      </c>
    </row>
    <row r="196" spans="1:13" x14ac:dyDescent="0.3">
      <c r="A196" t="s">
        <v>251</v>
      </c>
      <c r="B196" s="4">
        <v>34043</v>
      </c>
      <c r="C196">
        <v>1993</v>
      </c>
      <c r="D196">
        <v>3</v>
      </c>
      <c r="E196" t="s">
        <v>16</v>
      </c>
      <c r="F196" t="s">
        <v>41</v>
      </c>
      <c r="G196" t="s">
        <v>18</v>
      </c>
      <c r="H196" t="s">
        <v>27</v>
      </c>
      <c r="I196" t="s">
        <v>104</v>
      </c>
      <c r="J196">
        <v>50</v>
      </c>
      <c r="K196" t="b">
        <f>FALSE()</f>
        <v>0</v>
      </c>
      <c r="L196" t="s">
        <v>29</v>
      </c>
      <c r="M196" t="s">
        <v>22</v>
      </c>
    </row>
    <row r="197" spans="1:13" x14ac:dyDescent="0.3">
      <c r="A197" t="s">
        <v>252</v>
      </c>
      <c r="B197" s="4">
        <v>34101</v>
      </c>
      <c r="C197">
        <v>1993</v>
      </c>
      <c r="D197">
        <v>5</v>
      </c>
      <c r="E197" t="s">
        <v>16</v>
      </c>
      <c r="F197" t="s">
        <v>58</v>
      </c>
      <c r="G197" t="s">
        <v>18</v>
      </c>
      <c r="H197" t="s">
        <v>59</v>
      </c>
      <c r="I197" t="s">
        <v>214</v>
      </c>
      <c r="J197">
        <v>70</v>
      </c>
      <c r="K197" t="b">
        <f>FALSE()</f>
        <v>0</v>
      </c>
      <c r="L197" t="s">
        <v>61</v>
      </c>
      <c r="M197" t="s">
        <v>22</v>
      </c>
    </row>
    <row r="198" spans="1:13" x14ac:dyDescent="0.3">
      <c r="A198" t="s">
        <v>253</v>
      </c>
      <c r="B198" s="4">
        <v>34104</v>
      </c>
      <c r="C198">
        <v>1993</v>
      </c>
      <c r="D198">
        <v>5</v>
      </c>
      <c r="E198" t="s">
        <v>16</v>
      </c>
      <c r="F198" t="s">
        <v>235</v>
      </c>
      <c r="G198" t="s">
        <v>18</v>
      </c>
      <c r="H198" t="s">
        <v>19</v>
      </c>
      <c r="I198" t="s">
        <v>45</v>
      </c>
      <c r="J198">
        <v>50</v>
      </c>
      <c r="K198" t="b">
        <f>FALSE()</f>
        <v>0</v>
      </c>
      <c r="L198" t="s">
        <v>21</v>
      </c>
      <c r="M198" t="s">
        <v>22</v>
      </c>
    </row>
    <row r="199" spans="1:13" x14ac:dyDescent="0.3">
      <c r="A199" t="s">
        <v>254</v>
      </c>
      <c r="B199" s="4">
        <v>34130</v>
      </c>
      <c r="C199">
        <v>1993</v>
      </c>
      <c r="D199">
        <v>6</v>
      </c>
      <c r="E199" t="s">
        <v>16</v>
      </c>
      <c r="F199" t="s">
        <v>235</v>
      </c>
      <c r="G199" t="s">
        <v>18</v>
      </c>
      <c r="H199" t="s">
        <v>19</v>
      </c>
      <c r="I199" t="s">
        <v>45</v>
      </c>
      <c r="J199">
        <v>50</v>
      </c>
      <c r="K199" t="b">
        <f>FALSE()</f>
        <v>0</v>
      </c>
      <c r="L199" t="s">
        <v>21</v>
      </c>
      <c r="M199" t="s">
        <v>22</v>
      </c>
    </row>
    <row r="200" spans="1:13" x14ac:dyDescent="0.3">
      <c r="A200" t="s">
        <v>255</v>
      </c>
      <c r="B200" s="4">
        <v>34193</v>
      </c>
      <c r="C200">
        <v>1993</v>
      </c>
      <c r="D200">
        <v>8</v>
      </c>
      <c r="E200" t="s">
        <v>16</v>
      </c>
      <c r="F200" t="s">
        <v>58</v>
      </c>
      <c r="G200" t="s">
        <v>18</v>
      </c>
      <c r="H200" t="s">
        <v>59</v>
      </c>
      <c r="I200" t="s">
        <v>214</v>
      </c>
      <c r="J200">
        <v>70</v>
      </c>
      <c r="K200" t="b">
        <f>FALSE()</f>
        <v>0</v>
      </c>
      <c r="L200" t="s">
        <v>61</v>
      </c>
      <c r="M200" t="s">
        <v>22</v>
      </c>
    </row>
    <row r="201" spans="1:13" x14ac:dyDescent="0.3">
      <c r="A201" t="s">
        <v>256</v>
      </c>
      <c r="B201" s="4">
        <v>34196</v>
      </c>
      <c r="C201">
        <v>1993</v>
      </c>
      <c r="D201">
        <v>8</v>
      </c>
      <c r="E201" t="s">
        <v>16</v>
      </c>
      <c r="F201" t="s">
        <v>235</v>
      </c>
      <c r="G201" t="s">
        <v>18</v>
      </c>
      <c r="H201" t="s">
        <v>19</v>
      </c>
      <c r="I201" t="s">
        <v>45</v>
      </c>
      <c r="J201">
        <v>50</v>
      </c>
      <c r="K201" t="b">
        <f>FALSE()</f>
        <v>0</v>
      </c>
      <c r="L201" t="s">
        <v>21</v>
      </c>
      <c r="M201" t="s">
        <v>22</v>
      </c>
    </row>
    <row r="202" spans="1:13" x14ac:dyDescent="0.3">
      <c r="A202" t="s">
        <v>257</v>
      </c>
      <c r="B202" s="4">
        <v>34201</v>
      </c>
      <c r="C202">
        <v>1993</v>
      </c>
      <c r="D202">
        <v>8</v>
      </c>
      <c r="E202" t="s">
        <v>16</v>
      </c>
      <c r="F202" t="s">
        <v>130</v>
      </c>
      <c r="G202" t="s">
        <v>18</v>
      </c>
      <c r="H202" t="s">
        <v>131</v>
      </c>
      <c r="I202" t="s">
        <v>248</v>
      </c>
      <c r="J202">
        <v>28</v>
      </c>
      <c r="K202" t="b">
        <f>FALSE()</f>
        <v>0</v>
      </c>
      <c r="L202" t="s">
        <v>249</v>
      </c>
      <c r="M202" t="s">
        <v>250</v>
      </c>
    </row>
    <row r="203" spans="1:13" x14ac:dyDescent="0.3">
      <c r="A203" t="s">
        <v>258</v>
      </c>
      <c r="B203" s="4">
        <v>34375</v>
      </c>
      <c r="C203">
        <v>1994</v>
      </c>
      <c r="D203">
        <v>2</v>
      </c>
      <c r="E203" t="s">
        <v>16</v>
      </c>
      <c r="F203" t="s">
        <v>235</v>
      </c>
      <c r="G203" t="s">
        <v>18</v>
      </c>
      <c r="H203" t="s">
        <v>19</v>
      </c>
      <c r="I203" t="s">
        <v>45</v>
      </c>
      <c r="J203">
        <v>50</v>
      </c>
      <c r="K203" t="b">
        <f>FALSE()</f>
        <v>0</v>
      </c>
      <c r="L203" t="s">
        <v>21</v>
      </c>
      <c r="M203" t="s">
        <v>22</v>
      </c>
    </row>
    <row r="204" spans="1:13" x14ac:dyDescent="0.3">
      <c r="A204" t="s">
        <v>259</v>
      </c>
      <c r="B204" s="4">
        <v>34377</v>
      </c>
      <c r="C204">
        <v>1994</v>
      </c>
      <c r="D204">
        <v>2</v>
      </c>
      <c r="E204" t="s">
        <v>16</v>
      </c>
      <c r="F204" t="s">
        <v>58</v>
      </c>
      <c r="G204" t="s">
        <v>18</v>
      </c>
      <c r="H204" t="s">
        <v>59</v>
      </c>
      <c r="I204" t="s">
        <v>214</v>
      </c>
      <c r="J204">
        <v>70</v>
      </c>
      <c r="K204" t="b">
        <f>FALSE()</f>
        <v>0</v>
      </c>
      <c r="L204" t="s">
        <v>61</v>
      </c>
      <c r="M204" t="s">
        <v>22</v>
      </c>
    </row>
    <row r="205" spans="1:13" x14ac:dyDescent="0.3">
      <c r="A205" t="s">
        <v>260</v>
      </c>
      <c r="B205" s="4">
        <v>34380</v>
      </c>
      <c r="C205">
        <v>1994</v>
      </c>
      <c r="D205">
        <v>2</v>
      </c>
      <c r="E205" t="s">
        <v>16</v>
      </c>
      <c r="F205" t="s">
        <v>235</v>
      </c>
      <c r="G205" t="s">
        <v>18</v>
      </c>
      <c r="H205" t="s">
        <v>19</v>
      </c>
      <c r="I205" t="s">
        <v>45</v>
      </c>
      <c r="J205">
        <v>50</v>
      </c>
      <c r="K205" t="b">
        <f>FALSE()</f>
        <v>0</v>
      </c>
      <c r="L205" t="s">
        <v>21</v>
      </c>
      <c r="M205" t="s">
        <v>22</v>
      </c>
    </row>
    <row r="206" spans="1:13" x14ac:dyDescent="0.3">
      <c r="A206" t="s">
        <v>261</v>
      </c>
      <c r="B206" s="4">
        <v>34385</v>
      </c>
      <c r="C206">
        <v>1994</v>
      </c>
      <c r="D206">
        <v>2</v>
      </c>
      <c r="E206" t="s">
        <v>16</v>
      </c>
      <c r="F206" t="s">
        <v>130</v>
      </c>
      <c r="G206" t="s">
        <v>18</v>
      </c>
      <c r="H206" t="s">
        <v>131</v>
      </c>
      <c r="I206" t="s">
        <v>248</v>
      </c>
      <c r="J206">
        <v>28</v>
      </c>
      <c r="K206" t="b">
        <f>FALSE()</f>
        <v>0</v>
      </c>
      <c r="L206" t="s">
        <v>249</v>
      </c>
      <c r="M206" t="s">
        <v>250</v>
      </c>
    </row>
    <row r="207" spans="1:13" x14ac:dyDescent="0.3">
      <c r="A207" t="s">
        <v>262</v>
      </c>
      <c r="B207" s="4">
        <v>34408</v>
      </c>
      <c r="C207">
        <v>1994</v>
      </c>
      <c r="D207">
        <v>3</v>
      </c>
      <c r="E207" t="s">
        <v>16</v>
      </c>
      <c r="F207" t="s">
        <v>41</v>
      </c>
      <c r="G207" t="s">
        <v>18</v>
      </c>
      <c r="H207" t="s">
        <v>27</v>
      </c>
      <c r="I207" t="s">
        <v>104</v>
      </c>
      <c r="J207">
        <v>50</v>
      </c>
      <c r="K207" t="b">
        <f>FALSE()</f>
        <v>0</v>
      </c>
      <c r="L207" t="s">
        <v>29</v>
      </c>
      <c r="M207" t="s">
        <v>22</v>
      </c>
    </row>
    <row r="208" spans="1:13" x14ac:dyDescent="0.3">
      <c r="A208" t="s">
        <v>263</v>
      </c>
      <c r="B208" s="4">
        <v>34466</v>
      </c>
      <c r="C208">
        <v>1994</v>
      </c>
      <c r="D208">
        <v>5</v>
      </c>
      <c r="E208" t="s">
        <v>16</v>
      </c>
      <c r="F208" t="s">
        <v>58</v>
      </c>
      <c r="G208" t="s">
        <v>18</v>
      </c>
      <c r="H208" t="s">
        <v>59</v>
      </c>
      <c r="I208" t="s">
        <v>214</v>
      </c>
      <c r="J208">
        <v>70</v>
      </c>
      <c r="K208" t="b">
        <f>FALSE()</f>
        <v>0</v>
      </c>
      <c r="L208" t="s">
        <v>61</v>
      </c>
      <c r="M208" t="s">
        <v>22</v>
      </c>
    </row>
    <row r="209" spans="1:13" x14ac:dyDescent="0.3">
      <c r="A209" t="s">
        <v>264</v>
      </c>
      <c r="B209" s="4">
        <v>34469</v>
      </c>
      <c r="C209">
        <v>1994</v>
      </c>
      <c r="D209">
        <v>5</v>
      </c>
      <c r="E209" t="s">
        <v>16</v>
      </c>
      <c r="F209" t="s">
        <v>235</v>
      </c>
      <c r="G209" t="s">
        <v>18</v>
      </c>
      <c r="H209" t="s">
        <v>19</v>
      </c>
      <c r="I209" t="s">
        <v>45</v>
      </c>
      <c r="J209">
        <v>50</v>
      </c>
      <c r="K209" t="b">
        <f>FALSE()</f>
        <v>0</v>
      </c>
      <c r="L209" t="s">
        <v>21</v>
      </c>
      <c r="M209" t="s">
        <v>22</v>
      </c>
    </row>
    <row r="210" spans="1:13" x14ac:dyDescent="0.3">
      <c r="A210" t="s">
        <v>265</v>
      </c>
      <c r="B210" s="4">
        <v>34495</v>
      </c>
      <c r="C210">
        <v>1994</v>
      </c>
      <c r="D210">
        <v>6</v>
      </c>
      <c r="E210" t="s">
        <v>16</v>
      </c>
      <c r="F210" t="s">
        <v>235</v>
      </c>
      <c r="G210" t="s">
        <v>18</v>
      </c>
      <c r="H210" t="s">
        <v>19</v>
      </c>
      <c r="I210" t="s">
        <v>45</v>
      </c>
      <c r="J210">
        <v>50</v>
      </c>
      <c r="K210" t="b">
        <f>FALSE()</f>
        <v>0</v>
      </c>
      <c r="L210" t="s">
        <v>21</v>
      </c>
      <c r="M210" t="s">
        <v>22</v>
      </c>
    </row>
    <row r="211" spans="1:13" x14ac:dyDescent="0.3">
      <c r="A211" t="s">
        <v>266</v>
      </c>
      <c r="B211" s="4">
        <v>34558</v>
      </c>
      <c r="C211">
        <v>1994</v>
      </c>
      <c r="D211">
        <v>8</v>
      </c>
      <c r="E211" t="s">
        <v>16</v>
      </c>
      <c r="F211" t="s">
        <v>58</v>
      </c>
      <c r="G211" t="s">
        <v>18</v>
      </c>
      <c r="H211" t="s">
        <v>59</v>
      </c>
      <c r="I211" t="s">
        <v>214</v>
      </c>
      <c r="J211">
        <v>70</v>
      </c>
      <c r="K211" t="b">
        <f>FALSE()</f>
        <v>0</v>
      </c>
      <c r="L211" t="s">
        <v>61</v>
      </c>
      <c r="M211" t="s">
        <v>22</v>
      </c>
    </row>
    <row r="212" spans="1:13" x14ac:dyDescent="0.3">
      <c r="A212" t="s">
        <v>267</v>
      </c>
      <c r="B212" s="4">
        <v>34561</v>
      </c>
      <c r="C212">
        <v>1994</v>
      </c>
      <c r="D212">
        <v>8</v>
      </c>
      <c r="E212" t="s">
        <v>16</v>
      </c>
      <c r="F212" t="s">
        <v>235</v>
      </c>
      <c r="G212" t="s">
        <v>18</v>
      </c>
      <c r="H212" t="s">
        <v>19</v>
      </c>
      <c r="I212" t="s">
        <v>45</v>
      </c>
      <c r="J212">
        <v>50</v>
      </c>
      <c r="K212" t="b">
        <f>FALSE()</f>
        <v>0</v>
      </c>
      <c r="L212" t="s">
        <v>21</v>
      </c>
      <c r="M212" t="s">
        <v>22</v>
      </c>
    </row>
    <row r="213" spans="1:13" x14ac:dyDescent="0.3">
      <c r="A213" t="s">
        <v>268</v>
      </c>
      <c r="B213" s="4">
        <v>34566</v>
      </c>
      <c r="C213">
        <v>1994</v>
      </c>
      <c r="D213">
        <v>8</v>
      </c>
      <c r="E213" t="s">
        <v>16</v>
      </c>
      <c r="F213" t="s">
        <v>130</v>
      </c>
      <c r="G213" t="s">
        <v>18</v>
      </c>
      <c r="H213" t="s">
        <v>131</v>
      </c>
      <c r="I213" t="s">
        <v>248</v>
      </c>
      <c r="J213">
        <v>28</v>
      </c>
      <c r="K213" t="b">
        <f>FALSE()</f>
        <v>0</v>
      </c>
      <c r="L213" t="s">
        <v>249</v>
      </c>
      <c r="M213" t="s">
        <v>250</v>
      </c>
    </row>
    <row r="214" spans="1:13" x14ac:dyDescent="0.3">
      <c r="A214" t="s">
        <v>269</v>
      </c>
      <c r="B214" s="4">
        <v>34740</v>
      </c>
      <c r="C214">
        <v>1995</v>
      </c>
      <c r="D214">
        <v>2</v>
      </c>
      <c r="E214" t="s">
        <v>16</v>
      </c>
      <c r="F214" t="s">
        <v>235</v>
      </c>
      <c r="G214" t="s">
        <v>18</v>
      </c>
      <c r="H214" t="s">
        <v>19</v>
      </c>
      <c r="I214" t="s">
        <v>45</v>
      </c>
      <c r="J214">
        <v>50</v>
      </c>
      <c r="K214" t="b">
        <f>FALSE()</f>
        <v>0</v>
      </c>
      <c r="L214" t="s">
        <v>21</v>
      </c>
      <c r="M214" t="s">
        <v>22</v>
      </c>
    </row>
    <row r="215" spans="1:13" x14ac:dyDescent="0.3">
      <c r="A215" t="s">
        <v>270</v>
      </c>
      <c r="B215" s="4">
        <v>34742</v>
      </c>
      <c r="C215">
        <v>1995</v>
      </c>
      <c r="D215">
        <v>2</v>
      </c>
      <c r="E215" t="s">
        <v>16</v>
      </c>
      <c r="F215" t="s">
        <v>58</v>
      </c>
      <c r="G215" t="s">
        <v>18</v>
      </c>
      <c r="H215" t="s">
        <v>59</v>
      </c>
      <c r="I215" t="s">
        <v>214</v>
      </c>
      <c r="J215">
        <v>70</v>
      </c>
      <c r="K215" t="b">
        <f>FALSE()</f>
        <v>0</v>
      </c>
      <c r="L215" t="s">
        <v>61</v>
      </c>
      <c r="M215" t="s">
        <v>22</v>
      </c>
    </row>
    <row r="216" spans="1:13" x14ac:dyDescent="0.3">
      <c r="A216" t="s">
        <v>271</v>
      </c>
      <c r="B216" s="4">
        <v>34745</v>
      </c>
      <c r="C216">
        <v>1995</v>
      </c>
      <c r="D216">
        <v>2</v>
      </c>
      <c r="E216" t="s">
        <v>16</v>
      </c>
      <c r="F216" t="s">
        <v>235</v>
      </c>
      <c r="G216" t="s">
        <v>18</v>
      </c>
      <c r="H216" t="s">
        <v>19</v>
      </c>
      <c r="I216" t="s">
        <v>45</v>
      </c>
      <c r="J216">
        <v>50</v>
      </c>
      <c r="K216" t="b">
        <f>FALSE()</f>
        <v>0</v>
      </c>
      <c r="L216" t="s">
        <v>21</v>
      </c>
      <c r="M216" t="s">
        <v>22</v>
      </c>
    </row>
    <row r="217" spans="1:13" x14ac:dyDescent="0.3">
      <c r="A217" t="s">
        <v>272</v>
      </c>
      <c r="B217" s="4">
        <v>34750</v>
      </c>
      <c r="C217">
        <v>1995</v>
      </c>
      <c r="D217">
        <v>2</v>
      </c>
      <c r="E217" t="s">
        <v>16</v>
      </c>
      <c r="F217" t="s">
        <v>130</v>
      </c>
      <c r="G217" t="s">
        <v>18</v>
      </c>
      <c r="H217" t="s">
        <v>131</v>
      </c>
      <c r="I217" t="s">
        <v>248</v>
      </c>
      <c r="J217">
        <v>28</v>
      </c>
      <c r="K217" t="b">
        <f>FALSE()</f>
        <v>0</v>
      </c>
      <c r="L217" t="s">
        <v>249</v>
      </c>
      <c r="M217" t="s">
        <v>250</v>
      </c>
    </row>
    <row r="218" spans="1:13" x14ac:dyDescent="0.3">
      <c r="A218" t="s">
        <v>273</v>
      </c>
      <c r="B218" s="4">
        <v>34773</v>
      </c>
      <c r="C218">
        <v>1995</v>
      </c>
      <c r="D218">
        <v>3</v>
      </c>
      <c r="E218" t="s">
        <v>16</v>
      </c>
      <c r="F218" t="s">
        <v>41</v>
      </c>
      <c r="G218" t="s">
        <v>18</v>
      </c>
      <c r="H218" t="s">
        <v>27</v>
      </c>
      <c r="I218" t="s">
        <v>104</v>
      </c>
      <c r="J218">
        <v>50</v>
      </c>
      <c r="K218" t="b">
        <f>FALSE()</f>
        <v>0</v>
      </c>
      <c r="L218" t="s">
        <v>29</v>
      </c>
      <c r="M218" t="s">
        <v>22</v>
      </c>
    </row>
    <row r="219" spans="1:13" x14ac:dyDescent="0.3">
      <c r="A219" t="s">
        <v>274</v>
      </c>
      <c r="B219" s="4">
        <v>34831</v>
      </c>
      <c r="C219">
        <v>1995</v>
      </c>
      <c r="D219">
        <v>5</v>
      </c>
      <c r="E219" t="s">
        <v>16</v>
      </c>
      <c r="F219" t="s">
        <v>58</v>
      </c>
      <c r="G219" t="s">
        <v>18</v>
      </c>
      <c r="H219" t="s">
        <v>59</v>
      </c>
      <c r="I219" t="s">
        <v>214</v>
      </c>
      <c r="J219">
        <v>70</v>
      </c>
      <c r="K219" t="b">
        <f>FALSE()</f>
        <v>0</v>
      </c>
      <c r="L219" t="s">
        <v>61</v>
      </c>
      <c r="M219" t="s">
        <v>22</v>
      </c>
    </row>
    <row r="220" spans="1:13" x14ac:dyDescent="0.3">
      <c r="A220" t="s">
        <v>275</v>
      </c>
      <c r="B220" s="4">
        <v>34834</v>
      </c>
      <c r="C220">
        <v>1995</v>
      </c>
      <c r="D220">
        <v>5</v>
      </c>
      <c r="E220" t="s">
        <v>16</v>
      </c>
      <c r="F220" t="s">
        <v>235</v>
      </c>
      <c r="G220" t="s">
        <v>18</v>
      </c>
      <c r="H220" t="s">
        <v>19</v>
      </c>
      <c r="I220" t="s">
        <v>45</v>
      </c>
      <c r="J220">
        <v>50</v>
      </c>
      <c r="K220" t="b">
        <f>FALSE()</f>
        <v>0</v>
      </c>
      <c r="L220" t="s">
        <v>21</v>
      </c>
      <c r="M220" t="s">
        <v>22</v>
      </c>
    </row>
    <row r="221" spans="1:13" x14ac:dyDescent="0.3">
      <c r="A221" t="s">
        <v>276</v>
      </c>
      <c r="B221" s="4">
        <v>34860</v>
      </c>
      <c r="C221">
        <v>1995</v>
      </c>
      <c r="D221">
        <v>6</v>
      </c>
      <c r="E221" t="s">
        <v>16</v>
      </c>
      <c r="F221" t="s">
        <v>235</v>
      </c>
      <c r="G221" t="s">
        <v>18</v>
      </c>
      <c r="H221" t="s">
        <v>19</v>
      </c>
      <c r="I221" t="s">
        <v>45</v>
      </c>
      <c r="J221">
        <v>50</v>
      </c>
      <c r="K221" t="b">
        <f>FALSE()</f>
        <v>0</v>
      </c>
      <c r="L221" t="s">
        <v>21</v>
      </c>
      <c r="M221" t="s">
        <v>22</v>
      </c>
    </row>
    <row r="222" spans="1:13" x14ac:dyDescent="0.3">
      <c r="A222" t="s">
        <v>277</v>
      </c>
      <c r="B222" s="4">
        <v>34923</v>
      </c>
      <c r="C222">
        <v>1995</v>
      </c>
      <c r="D222">
        <v>8</v>
      </c>
      <c r="E222" t="s">
        <v>16</v>
      </c>
      <c r="F222" t="s">
        <v>58</v>
      </c>
      <c r="G222" t="s">
        <v>18</v>
      </c>
      <c r="H222" t="s">
        <v>59</v>
      </c>
      <c r="I222" t="s">
        <v>214</v>
      </c>
      <c r="J222">
        <v>70</v>
      </c>
      <c r="K222" t="b">
        <f>FALSE()</f>
        <v>0</v>
      </c>
      <c r="L222" t="s">
        <v>61</v>
      </c>
      <c r="M222" t="s">
        <v>22</v>
      </c>
    </row>
    <row r="223" spans="1:13" x14ac:dyDescent="0.3">
      <c r="A223" t="s">
        <v>278</v>
      </c>
      <c r="B223" s="4">
        <v>34926</v>
      </c>
      <c r="C223">
        <v>1995</v>
      </c>
      <c r="D223">
        <v>8</v>
      </c>
      <c r="E223" t="s">
        <v>16</v>
      </c>
      <c r="F223" t="s">
        <v>235</v>
      </c>
      <c r="G223" t="s">
        <v>18</v>
      </c>
      <c r="H223" t="s">
        <v>19</v>
      </c>
      <c r="I223" t="s">
        <v>45</v>
      </c>
      <c r="J223">
        <v>50</v>
      </c>
      <c r="K223" t="b">
        <f>FALSE()</f>
        <v>0</v>
      </c>
      <c r="L223" t="s">
        <v>21</v>
      </c>
      <c r="M223" t="s">
        <v>22</v>
      </c>
    </row>
    <row r="224" spans="1:13" x14ac:dyDescent="0.3">
      <c r="A224" t="s">
        <v>279</v>
      </c>
      <c r="B224" s="4">
        <v>34931</v>
      </c>
      <c r="C224">
        <v>1995</v>
      </c>
      <c r="D224">
        <v>8</v>
      </c>
      <c r="E224" t="s">
        <v>16</v>
      </c>
      <c r="F224" t="s">
        <v>130</v>
      </c>
      <c r="G224" t="s">
        <v>18</v>
      </c>
      <c r="H224" t="s">
        <v>131</v>
      </c>
      <c r="I224" t="s">
        <v>248</v>
      </c>
      <c r="J224">
        <v>28</v>
      </c>
      <c r="K224" t="b">
        <f>FALSE()</f>
        <v>0</v>
      </c>
      <c r="L224" t="s">
        <v>249</v>
      </c>
      <c r="M224" t="s">
        <v>250</v>
      </c>
    </row>
    <row r="225" spans="1:13" x14ac:dyDescent="0.3">
      <c r="A225" t="s">
        <v>280</v>
      </c>
      <c r="B225" s="4">
        <v>35079</v>
      </c>
      <c r="C225">
        <v>1996</v>
      </c>
      <c r="D225">
        <v>1</v>
      </c>
      <c r="E225" t="s">
        <v>25</v>
      </c>
      <c r="F225" t="s">
        <v>118</v>
      </c>
      <c r="G225" t="s">
        <v>119</v>
      </c>
      <c r="H225" t="s">
        <v>120</v>
      </c>
      <c r="I225" t="s">
        <v>281</v>
      </c>
      <c r="J225">
        <v>178</v>
      </c>
      <c r="K225" t="b">
        <f>FALSE()</f>
        <v>0</v>
      </c>
      <c r="L225" t="s">
        <v>122</v>
      </c>
      <c r="M225" t="s">
        <v>250</v>
      </c>
    </row>
    <row r="226" spans="1:13" x14ac:dyDescent="0.3">
      <c r="A226" t="s">
        <v>282</v>
      </c>
      <c r="B226" s="4">
        <v>35105</v>
      </c>
      <c r="C226">
        <v>1996</v>
      </c>
      <c r="D226">
        <v>2</v>
      </c>
      <c r="E226" t="s">
        <v>16</v>
      </c>
      <c r="F226" t="s">
        <v>235</v>
      </c>
      <c r="G226" t="s">
        <v>18</v>
      </c>
      <c r="H226" t="s">
        <v>19</v>
      </c>
      <c r="I226" t="s">
        <v>45</v>
      </c>
      <c r="J226">
        <v>50</v>
      </c>
      <c r="K226" t="b">
        <f>FALSE()</f>
        <v>0</v>
      </c>
      <c r="L226" t="s">
        <v>21</v>
      </c>
      <c r="M226" t="s">
        <v>22</v>
      </c>
    </row>
    <row r="227" spans="1:13" x14ac:dyDescent="0.3">
      <c r="A227" t="s">
        <v>283</v>
      </c>
      <c r="B227" s="4">
        <v>35107</v>
      </c>
      <c r="C227">
        <v>1996</v>
      </c>
      <c r="D227">
        <v>2</v>
      </c>
      <c r="E227" t="s">
        <v>16</v>
      </c>
      <c r="F227" t="s">
        <v>58</v>
      </c>
      <c r="G227" t="s">
        <v>18</v>
      </c>
      <c r="H227" t="s">
        <v>59</v>
      </c>
      <c r="I227" t="s">
        <v>214</v>
      </c>
      <c r="J227">
        <v>70</v>
      </c>
      <c r="K227" t="b">
        <f>FALSE()</f>
        <v>0</v>
      </c>
      <c r="L227" t="s">
        <v>61</v>
      </c>
      <c r="M227" t="s">
        <v>22</v>
      </c>
    </row>
    <row r="228" spans="1:13" x14ac:dyDescent="0.3">
      <c r="A228" t="s">
        <v>284</v>
      </c>
      <c r="B228" s="4">
        <v>35110</v>
      </c>
      <c r="C228">
        <v>1996</v>
      </c>
      <c r="D228">
        <v>2</v>
      </c>
      <c r="E228" t="s">
        <v>16</v>
      </c>
      <c r="F228" t="s">
        <v>235</v>
      </c>
      <c r="G228" t="s">
        <v>18</v>
      </c>
      <c r="H228" t="s">
        <v>19</v>
      </c>
      <c r="I228" t="s">
        <v>45</v>
      </c>
      <c r="J228">
        <v>50</v>
      </c>
      <c r="K228" t="b">
        <f>FALSE()</f>
        <v>0</v>
      </c>
      <c r="L228" t="s">
        <v>21</v>
      </c>
      <c r="M228" t="s">
        <v>22</v>
      </c>
    </row>
    <row r="229" spans="1:13" x14ac:dyDescent="0.3">
      <c r="A229" t="s">
        <v>285</v>
      </c>
      <c r="B229" s="4">
        <v>35115</v>
      </c>
      <c r="C229">
        <v>1996</v>
      </c>
      <c r="D229">
        <v>2</v>
      </c>
      <c r="E229" t="s">
        <v>16</v>
      </c>
      <c r="F229" t="s">
        <v>130</v>
      </c>
      <c r="G229" t="s">
        <v>18</v>
      </c>
      <c r="H229" t="s">
        <v>131</v>
      </c>
      <c r="I229" t="s">
        <v>248</v>
      </c>
      <c r="J229">
        <v>28</v>
      </c>
      <c r="K229" t="b">
        <f>FALSE()</f>
        <v>0</v>
      </c>
      <c r="L229" t="s">
        <v>249</v>
      </c>
      <c r="M229" t="s">
        <v>250</v>
      </c>
    </row>
    <row r="230" spans="1:13" x14ac:dyDescent="0.3">
      <c r="A230" t="s">
        <v>286</v>
      </c>
      <c r="B230" s="4">
        <v>35139</v>
      </c>
      <c r="C230">
        <v>1996</v>
      </c>
      <c r="D230">
        <v>3</v>
      </c>
      <c r="E230" t="s">
        <v>16</v>
      </c>
      <c r="F230" t="s">
        <v>41</v>
      </c>
      <c r="G230" t="s">
        <v>18</v>
      </c>
      <c r="H230" t="s">
        <v>27</v>
      </c>
      <c r="I230" t="s">
        <v>104</v>
      </c>
      <c r="J230">
        <v>50</v>
      </c>
      <c r="K230" t="b">
        <f>FALSE()</f>
        <v>0</v>
      </c>
      <c r="L230" t="s">
        <v>29</v>
      </c>
      <c r="M230" t="s">
        <v>22</v>
      </c>
    </row>
    <row r="231" spans="1:13" x14ac:dyDescent="0.3">
      <c r="A231" t="s">
        <v>287</v>
      </c>
      <c r="B231" s="4">
        <v>35139</v>
      </c>
      <c r="C231">
        <v>1996</v>
      </c>
      <c r="D231">
        <v>3</v>
      </c>
      <c r="E231" t="s">
        <v>16</v>
      </c>
      <c r="F231" t="s">
        <v>118</v>
      </c>
      <c r="G231" t="s">
        <v>119</v>
      </c>
      <c r="H231" t="s">
        <v>120</v>
      </c>
      <c r="I231" t="s">
        <v>281</v>
      </c>
      <c r="J231">
        <v>178</v>
      </c>
      <c r="K231" t="b">
        <f>FALSE()</f>
        <v>0</v>
      </c>
      <c r="L231" t="s">
        <v>122</v>
      </c>
      <c r="M231" t="s">
        <v>250</v>
      </c>
    </row>
    <row r="232" spans="1:13" x14ac:dyDescent="0.3">
      <c r="A232" t="s">
        <v>288</v>
      </c>
      <c r="B232" s="4">
        <v>35197</v>
      </c>
      <c r="C232">
        <v>1996</v>
      </c>
      <c r="D232">
        <v>5</v>
      </c>
      <c r="E232" t="s">
        <v>16</v>
      </c>
      <c r="F232" t="s">
        <v>58</v>
      </c>
      <c r="G232" t="s">
        <v>18</v>
      </c>
      <c r="H232" t="s">
        <v>59</v>
      </c>
      <c r="I232" t="s">
        <v>214</v>
      </c>
      <c r="J232">
        <v>70</v>
      </c>
      <c r="K232" t="b">
        <f>FALSE()</f>
        <v>0</v>
      </c>
      <c r="L232" t="s">
        <v>61</v>
      </c>
      <c r="M232" t="s">
        <v>22</v>
      </c>
    </row>
    <row r="233" spans="1:13" x14ac:dyDescent="0.3">
      <c r="A233" t="s">
        <v>289</v>
      </c>
      <c r="B233" s="4">
        <v>35200</v>
      </c>
      <c r="C233">
        <v>1996</v>
      </c>
      <c r="D233">
        <v>5</v>
      </c>
      <c r="E233" t="s">
        <v>16</v>
      </c>
      <c r="F233" t="s">
        <v>235</v>
      </c>
      <c r="G233" t="s">
        <v>18</v>
      </c>
      <c r="H233" t="s">
        <v>19</v>
      </c>
      <c r="I233" t="s">
        <v>45</v>
      </c>
      <c r="J233">
        <v>50</v>
      </c>
      <c r="K233" t="b">
        <f>FALSE()</f>
        <v>0</v>
      </c>
      <c r="L233" t="s">
        <v>21</v>
      </c>
      <c r="M233" t="s">
        <v>22</v>
      </c>
    </row>
    <row r="234" spans="1:13" x14ac:dyDescent="0.3">
      <c r="A234" t="s">
        <v>290</v>
      </c>
      <c r="B234" s="4">
        <v>35220</v>
      </c>
      <c r="C234">
        <v>1996</v>
      </c>
      <c r="D234">
        <v>6</v>
      </c>
      <c r="E234" t="s">
        <v>25</v>
      </c>
      <c r="F234" t="s">
        <v>118</v>
      </c>
      <c r="G234" t="s">
        <v>119</v>
      </c>
      <c r="H234" t="s">
        <v>120</v>
      </c>
      <c r="I234" t="s">
        <v>281</v>
      </c>
      <c r="J234">
        <v>178</v>
      </c>
      <c r="K234" t="b">
        <f>FALSE()</f>
        <v>0</v>
      </c>
      <c r="L234" t="s">
        <v>122</v>
      </c>
      <c r="M234" t="s">
        <v>22</v>
      </c>
    </row>
    <row r="235" spans="1:13" x14ac:dyDescent="0.3">
      <c r="A235" t="s">
        <v>291</v>
      </c>
      <c r="B235" s="4">
        <v>35226</v>
      </c>
      <c r="C235">
        <v>1996</v>
      </c>
      <c r="D235">
        <v>6</v>
      </c>
      <c r="E235" t="s">
        <v>16</v>
      </c>
      <c r="F235" t="s">
        <v>235</v>
      </c>
      <c r="G235" t="s">
        <v>18</v>
      </c>
      <c r="H235" t="s">
        <v>19</v>
      </c>
      <c r="I235" t="s">
        <v>45</v>
      </c>
      <c r="J235">
        <v>50</v>
      </c>
      <c r="K235" t="b">
        <f>FALSE()</f>
        <v>0</v>
      </c>
      <c r="L235" t="s">
        <v>21</v>
      </c>
      <c r="M235" t="s">
        <v>22</v>
      </c>
    </row>
    <row r="236" spans="1:13" x14ac:dyDescent="0.3">
      <c r="A236" t="s">
        <v>292</v>
      </c>
      <c r="B236" s="4">
        <v>35289</v>
      </c>
      <c r="C236">
        <v>1996</v>
      </c>
      <c r="D236">
        <v>8</v>
      </c>
      <c r="E236" t="s">
        <v>16</v>
      </c>
      <c r="F236" t="s">
        <v>58</v>
      </c>
      <c r="G236" t="s">
        <v>18</v>
      </c>
      <c r="H236" t="s">
        <v>59</v>
      </c>
      <c r="I236" t="s">
        <v>214</v>
      </c>
      <c r="J236">
        <v>70</v>
      </c>
      <c r="K236" t="b">
        <f>FALSE()</f>
        <v>0</v>
      </c>
      <c r="L236" t="s">
        <v>61</v>
      </c>
      <c r="M236" t="s">
        <v>22</v>
      </c>
    </row>
    <row r="237" spans="1:13" x14ac:dyDescent="0.3">
      <c r="A237" t="s">
        <v>293</v>
      </c>
      <c r="B237" s="4">
        <v>35292</v>
      </c>
      <c r="C237">
        <v>1996</v>
      </c>
      <c r="D237">
        <v>8</v>
      </c>
      <c r="E237" t="s">
        <v>16</v>
      </c>
      <c r="F237" t="s">
        <v>235</v>
      </c>
      <c r="G237" t="s">
        <v>18</v>
      </c>
      <c r="H237" t="s">
        <v>19</v>
      </c>
      <c r="I237" t="s">
        <v>45</v>
      </c>
      <c r="J237">
        <v>50</v>
      </c>
      <c r="K237" t="b">
        <f>FALSE()</f>
        <v>0</v>
      </c>
      <c r="L237" t="s">
        <v>21</v>
      </c>
      <c r="M237" t="s">
        <v>22</v>
      </c>
    </row>
    <row r="238" spans="1:13" x14ac:dyDescent="0.3">
      <c r="A238" t="s">
        <v>294</v>
      </c>
      <c r="B238" s="4">
        <v>35297</v>
      </c>
      <c r="C238">
        <v>1996</v>
      </c>
      <c r="D238">
        <v>8</v>
      </c>
      <c r="E238" t="s">
        <v>16</v>
      </c>
      <c r="F238" t="s">
        <v>130</v>
      </c>
      <c r="G238" t="s">
        <v>18</v>
      </c>
      <c r="H238" t="s">
        <v>131</v>
      </c>
      <c r="I238" t="s">
        <v>248</v>
      </c>
      <c r="J238">
        <v>28</v>
      </c>
      <c r="K238" t="b">
        <f>FALSE()</f>
        <v>0</v>
      </c>
      <c r="L238" t="s">
        <v>249</v>
      </c>
      <c r="M238" t="s">
        <v>250</v>
      </c>
    </row>
    <row r="239" spans="1:13" x14ac:dyDescent="0.3">
      <c r="A239" t="s">
        <v>295</v>
      </c>
      <c r="B239" s="4">
        <v>35376</v>
      </c>
      <c r="C239">
        <v>1996</v>
      </c>
      <c r="D239">
        <v>11</v>
      </c>
      <c r="E239" t="s">
        <v>16</v>
      </c>
      <c r="F239" t="s">
        <v>41</v>
      </c>
      <c r="G239" t="s">
        <v>18</v>
      </c>
      <c r="H239" t="s">
        <v>27</v>
      </c>
      <c r="I239" t="s">
        <v>104</v>
      </c>
      <c r="J239">
        <v>50</v>
      </c>
      <c r="K239" t="b">
        <f>FALSE()</f>
        <v>0</v>
      </c>
      <c r="L239" t="s">
        <v>29</v>
      </c>
      <c r="M239" t="s">
        <v>22</v>
      </c>
    </row>
    <row r="240" spans="1:13" x14ac:dyDescent="0.3">
      <c r="A240" t="s">
        <v>296</v>
      </c>
      <c r="B240" s="4">
        <v>35403</v>
      </c>
      <c r="C240">
        <v>1996</v>
      </c>
      <c r="D240">
        <v>12</v>
      </c>
      <c r="E240" t="s">
        <v>16</v>
      </c>
      <c r="F240" t="s">
        <v>41</v>
      </c>
      <c r="G240" t="s">
        <v>18</v>
      </c>
      <c r="H240" t="s">
        <v>27</v>
      </c>
      <c r="I240" t="s">
        <v>104</v>
      </c>
      <c r="J240">
        <v>50</v>
      </c>
      <c r="K240" t="b">
        <f>FALSE()</f>
        <v>0</v>
      </c>
      <c r="L240" t="s">
        <v>29</v>
      </c>
      <c r="M240" t="s">
        <v>22</v>
      </c>
    </row>
    <row r="241" spans="1:13" x14ac:dyDescent="0.3">
      <c r="A241" t="s">
        <v>297</v>
      </c>
      <c r="B241" s="4">
        <v>35445</v>
      </c>
      <c r="C241">
        <v>1997</v>
      </c>
      <c r="D241">
        <v>1</v>
      </c>
      <c r="E241" t="s">
        <v>16</v>
      </c>
      <c r="F241" t="s">
        <v>118</v>
      </c>
      <c r="G241" t="s">
        <v>119</v>
      </c>
      <c r="H241" t="s">
        <v>120</v>
      </c>
      <c r="I241" t="s">
        <v>281</v>
      </c>
      <c r="J241">
        <v>178</v>
      </c>
      <c r="K241" t="b">
        <f>FALSE()</f>
        <v>0</v>
      </c>
      <c r="L241" t="s">
        <v>122</v>
      </c>
      <c r="M241" t="s">
        <v>250</v>
      </c>
    </row>
    <row r="242" spans="1:13" x14ac:dyDescent="0.3">
      <c r="A242" t="s">
        <v>298</v>
      </c>
      <c r="B242" s="4">
        <v>35471</v>
      </c>
      <c r="C242">
        <v>1997</v>
      </c>
      <c r="D242">
        <v>2</v>
      </c>
      <c r="E242" t="s">
        <v>16</v>
      </c>
      <c r="F242" t="s">
        <v>235</v>
      </c>
      <c r="G242" t="s">
        <v>18</v>
      </c>
      <c r="H242" t="s">
        <v>19</v>
      </c>
      <c r="I242" t="s">
        <v>45</v>
      </c>
      <c r="J242">
        <v>50</v>
      </c>
      <c r="K242" t="b">
        <f>FALSE()</f>
        <v>0</v>
      </c>
      <c r="L242" t="s">
        <v>21</v>
      </c>
      <c r="M242" t="s">
        <v>22</v>
      </c>
    </row>
    <row r="243" spans="1:13" x14ac:dyDescent="0.3">
      <c r="A243" t="s">
        <v>299</v>
      </c>
      <c r="B243" s="4">
        <v>35473</v>
      </c>
      <c r="C243">
        <v>1997</v>
      </c>
      <c r="D243">
        <v>2</v>
      </c>
      <c r="E243" t="s">
        <v>16</v>
      </c>
      <c r="F243" t="s">
        <v>58</v>
      </c>
      <c r="G243" t="s">
        <v>18</v>
      </c>
      <c r="H243" t="s">
        <v>59</v>
      </c>
      <c r="I243" t="s">
        <v>214</v>
      </c>
      <c r="J243">
        <v>70</v>
      </c>
      <c r="K243" t="b">
        <f>FALSE()</f>
        <v>0</v>
      </c>
      <c r="L243" t="s">
        <v>61</v>
      </c>
      <c r="M243" t="s">
        <v>22</v>
      </c>
    </row>
    <row r="244" spans="1:13" x14ac:dyDescent="0.3">
      <c r="A244" t="s">
        <v>300</v>
      </c>
      <c r="B244" s="4">
        <v>35476</v>
      </c>
      <c r="C244">
        <v>1997</v>
      </c>
      <c r="D244">
        <v>2</v>
      </c>
      <c r="E244" t="s">
        <v>16</v>
      </c>
      <c r="F244" t="s">
        <v>235</v>
      </c>
      <c r="G244" t="s">
        <v>18</v>
      </c>
      <c r="H244" t="s">
        <v>19</v>
      </c>
      <c r="I244" t="s">
        <v>45</v>
      </c>
      <c r="J244">
        <v>50</v>
      </c>
      <c r="K244" t="b">
        <f>FALSE()</f>
        <v>0</v>
      </c>
      <c r="L244" t="s">
        <v>21</v>
      </c>
      <c r="M244" t="s">
        <v>22</v>
      </c>
    </row>
    <row r="245" spans="1:13" x14ac:dyDescent="0.3">
      <c r="A245" t="s">
        <v>301</v>
      </c>
      <c r="B245" s="4">
        <v>35481</v>
      </c>
      <c r="C245">
        <v>1997</v>
      </c>
      <c r="D245">
        <v>2</v>
      </c>
      <c r="E245" t="s">
        <v>16</v>
      </c>
      <c r="F245" t="s">
        <v>130</v>
      </c>
      <c r="G245" t="s">
        <v>18</v>
      </c>
      <c r="H245" t="s">
        <v>131</v>
      </c>
      <c r="I245" t="s">
        <v>248</v>
      </c>
      <c r="J245">
        <v>28</v>
      </c>
      <c r="K245" t="b">
        <f>FALSE()</f>
        <v>0</v>
      </c>
      <c r="L245" t="s">
        <v>249</v>
      </c>
      <c r="M245" t="s">
        <v>250</v>
      </c>
    </row>
    <row r="246" spans="1:13" x14ac:dyDescent="0.3">
      <c r="A246" t="s">
        <v>302</v>
      </c>
      <c r="B246" s="4">
        <v>35504</v>
      </c>
      <c r="C246">
        <v>1997</v>
      </c>
      <c r="D246">
        <v>3</v>
      </c>
      <c r="E246" t="s">
        <v>16</v>
      </c>
      <c r="F246" t="s">
        <v>41</v>
      </c>
      <c r="G246" t="s">
        <v>18</v>
      </c>
      <c r="H246" t="s">
        <v>27</v>
      </c>
      <c r="I246" t="s">
        <v>104</v>
      </c>
      <c r="J246">
        <v>50</v>
      </c>
      <c r="K246" t="b">
        <f>FALSE()</f>
        <v>0</v>
      </c>
      <c r="L246" t="s">
        <v>29</v>
      </c>
      <c r="M246" t="s">
        <v>22</v>
      </c>
    </row>
    <row r="247" spans="1:13" x14ac:dyDescent="0.3">
      <c r="A247" t="s">
        <v>303</v>
      </c>
      <c r="B247" s="4">
        <v>35504</v>
      </c>
      <c r="C247">
        <v>1997</v>
      </c>
      <c r="D247">
        <v>3</v>
      </c>
      <c r="E247" t="s">
        <v>16</v>
      </c>
      <c r="F247" t="s">
        <v>118</v>
      </c>
      <c r="G247" t="s">
        <v>119</v>
      </c>
      <c r="H247" t="s">
        <v>120</v>
      </c>
      <c r="I247" t="s">
        <v>281</v>
      </c>
      <c r="J247">
        <v>178</v>
      </c>
      <c r="K247" t="b">
        <f>FALSE()</f>
        <v>0</v>
      </c>
      <c r="L247" t="s">
        <v>122</v>
      </c>
      <c r="M247" t="s">
        <v>250</v>
      </c>
    </row>
    <row r="248" spans="1:13" x14ac:dyDescent="0.3">
      <c r="A248" t="s">
        <v>304</v>
      </c>
      <c r="B248" s="4">
        <v>35562</v>
      </c>
      <c r="C248">
        <v>1997</v>
      </c>
      <c r="D248">
        <v>5</v>
      </c>
      <c r="E248" t="s">
        <v>16</v>
      </c>
      <c r="F248" t="s">
        <v>58</v>
      </c>
      <c r="G248" t="s">
        <v>18</v>
      </c>
      <c r="H248" t="s">
        <v>59</v>
      </c>
      <c r="I248" t="s">
        <v>214</v>
      </c>
      <c r="J248">
        <v>70</v>
      </c>
      <c r="K248" t="b">
        <f>FALSE()</f>
        <v>0</v>
      </c>
      <c r="L248" t="s">
        <v>61</v>
      </c>
      <c r="M248" t="s">
        <v>22</v>
      </c>
    </row>
    <row r="249" spans="1:13" x14ac:dyDescent="0.3">
      <c r="A249" t="s">
        <v>305</v>
      </c>
      <c r="B249" s="4">
        <v>35565</v>
      </c>
      <c r="C249">
        <v>1997</v>
      </c>
      <c r="D249">
        <v>5</v>
      </c>
      <c r="E249" t="s">
        <v>16</v>
      </c>
      <c r="F249" t="s">
        <v>235</v>
      </c>
      <c r="G249" t="s">
        <v>18</v>
      </c>
      <c r="H249" t="s">
        <v>19</v>
      </c>
      <c r="I249" t="s">
        <v>45</v>
      </c>
      <c r="J249">
        <v>50</v>
      </c>
      <c r="K249" t="b">
        <f>FALSE()</f>
        <v>0</v>
      </c>
      <c r="L249" t="s">
        <v>21</v>
      </c>
      <c r="M249" t="s">
        <v>22</v>
      </c>
    </row>
    <row r="250" spans="1:13" x14ac:dyDescent="0.3">
      <c r="A250" t="s">
        <v>306</v>
      </c>
      <c r="B250" s="4">
        <v>35591</v>
      </c>
      <c r="C250">
        <v>1997</v>
      </c>
      <c r="D250">
        <v>6</v>
      </c>
      <c r="E250" t="s">
        <v>16</v>
      </c>
      <c r="F250" t="s">
        <v>235</v>
      </c>
      <c r="G250" t="s">
        <v>18</v>
      </c>
      <c r="H250" t="s">
        <v>19</v>
      </c>
      <c r="I250" t="s">
        <v>45</v>
      </c>
      <c r="J250">
        <v>50</v>
      </c>
      <c r="K250" t="b">
        <f>FALSE()</f>
        <v>0</v>
      </c>
      <c r="L250" t="s">
        <v>21</v>
      </c>
      <c r="M250" t="s">
        <v>22</v>
      </c>
    </row>
    <row r="251" spans="1:13" x14ac:dyDescent="0.3">
      <c r="A251" t="s">
        <v>307</v>
      </c>
      <c r="B251" s="4">
        <v>35654</v>
      </c>
      <c r="C251">
        <v>1997</v>
      </c>
      <c r="D251">
        <v>8</v>
      </c>
      <c r="E251" t="s">
        <v>16</v>
      </c>
      <c r="F251" t="s">
        <v>58</v>
      </c>
      <c r="G251" t="s">
        <v>18</v>
      </c>
      <c r="H251" t="s">
        <v>59</v>
      </c>
      <c r="I251" t="s">
        <v>214</v>
      </c>
      <c r="J251">
        <v>70</v>
      </c>
      <c r="K251" t="b">
        <f>FALSE()</f>
        <v>0</v>
      </c>
      <c r="L251" t="s">
        <v>61</v>
      </c>
      <c r="M251" t="s">
        <v>22</v>
      </c>
    </row>
    <row r="252" spans="1:13" x14ac:dyDescent="0.3">
      <c r="A252" t="s">
        <v>308</v>
      </c>
      <c r="B252" s="4">
        <v>35657</v>
      </c>
      <c r="C252">
        <v>1997</v>
      </c>
      <c r="D252">
        <v>8</v>
      </c>
      <c r="E252" t="s">
        <v>16</v>
      </c>
      <c r="F252" t="s">
        <v>235</v>
      </c>
      <c r="G252" t="s">
        <v>18</v>
      </c>
      <c r="H252" t="s">
        <v>19</v>
      </c>
      <c r="I252" t="s">
        <v>45</v>
      </c>
      <c r="J252">
        <v>50</v>
      </c>
      <c r="K252" t="b">
        <f>FALSE()</f>
        <v>0</v>
      </c>
      <c r="L252" t="s">
        <v>21</v>
      </c>
      <c r="M252" t="s">
        <v>22</v>
      </c>
    </row>
    <row r="253" spans="1:13" x14ac:dyDescent="0.3">
      <c r="A253" t="s">
        <v>309</v>
      </c>
      <c r="B253" s="4">
        <v>35662</v>
      </c>
      <c r="C253">
        <v>1997</v>
      </c>
      <c r="D253">
        <v>8</v>
      </c>
      <c r="E253" t="s">
        <v>16</v>
      </c>
      <c r="F253" t="s">
        <v>130</v>
      </c>
      <c r="G253" t="s">
        <v>18</v>
      </c>
      <c r="H253" t="s">
        <v>131</v>
      </c>
      <c r="I253" t="s">
        <v>248</v>
      </c>
      <c r="J253">
        <v>28</v>
      </c>
      <c r="K253" t="b">
        <f>FALSE()</f>
        <v>0</v>
      </c>
      <c r="L253" t="s">
        <v>249</v>
      </c>
      <c r="M253" t="s">
        <v>250</v>
      </c>
    </row>
    <row r="254" spans="1:13" x14ac:dyDescent="0.3">
      <c r="A254" t="s">
        <v>310</v>
      </c>
      <c r="B254" s="4">
        <v>35810</v>
      </c>
      <c r="C254">
        <v>1998</v>
      </c>
      <c r="D254">
        <v>1</v>
      </c>
      <c r="E254" t="s">
        <v>16</v>
      </c>
      <c r="F254" t="s">
        <v>118</v>
      </c>
      <c r="G254" t="s">
        <v>119</v>
      </c>
      <c r="H254" t="s">
        <v>120</v>
      </c>
      <c r="I254" t="s">
        <v>281</v>
      </c>
      <c r="J254">
        <v>178</v>
      </c>
      <c r="K254" t="b">
        <f>FALSE()</f>
        <v>0</v>
      </c>
      <c r="L254" t="s">
        <v>122</v>
      </c>
      <c r="M254" t="s">
        <v>250</v>
      </c>
    </row>
    <row r="255" spans="1:13" x14ac:dyDescent="0.3">
      <c r="A255" t="s">
        <v>311</v>
      </c>
      <c r="B255" s="4">
        <v>35836</v>
      </c>
      <c r="C255">
        <v>1998</v>
      </c>
      <c r="D255">
        <v>2</v>
      </c>
      <c r="E255" t="s">
        <v>16</v>
      </c>
      <c r="F255" t="s">
        <v>235</v>
      </c>
      <c r="G255" t="s">
        <v>18</v>
      </c>
      <c r="H255" t="s">
        <v>19</v>
      </c>
      <c r="I255" t="s">
        <v>45</v>
      </c>
      <c r="J255">
        <v>50</v>
      </c>
      <c r="K255" t="b">
        <f>FALSE()</f>
        <v>0</v>
      </c>
      <c r="L255" t="s">
        <v>21</v>
      </c>
      <c r="M255" t="s">
        <v>22</v>
      </c>
    </row>
    <row r="256" spans="1:13" x14ac:dyDescent="0.3">
      <c r="A256" t="s">
        <v>312</v>
      </c>
      <c r="B256" s="4">
        <v>35838</v>
      </c>
      <c r="C256">
        <v>1998</v>
      </c>
      <c r="D256">
        <v>2</v>
      </c>
      <c r="E256" t="s">
        <v>16</v>
      </c>
      <c r="F256" t="s">
        <v>58</v>
      </c>
      <c r="G256" t="s">
        <v>18</v>
      </c>
      <c r="H256" t="s">
        <v>59</v>
      </c>
      <c r="I256" t="s">
        <v>214</v>
      </c>
      <c r="J256">
        <v>70</v>
      </c>
      <c r="K256" t="b">
        <f>FALSE()</f>
        <v>0</v>
      </c>
      <c r="L256" t="s">
        <v>61</v>
      </c>
      <c r="M256" t="s">
        <v>22</v>
      </c>
    </row>
    <row r="257" spans="1:13" x14ac:dyDescent="0.3">
      <c r="A257" t="s">
        <v>313</v>
      </c>
      <c r="B257" s="4">
        <v>35841</v>
      </c>
      <c r="C257">
        <v>1998</v>
      </c>
      <c r="D257">
        <v>2</v>
      </c>
      <c r="E257" t="s">
        <v>16</v>
      </c>
      <c r="F257" t="s">
        <v>235</v>
      </c>
      <c r="G257" t="s">
        <v>18</v>
      </c>
      <c r="H257" t="s">
        <v>19</v>
      </c>
      <c r="I257" t="s">
        <v>45</v>
      </c>
      <c r="J257">
        <v>50</v>
      </c>
      <c r="K257" t="b">
        <f>FALSE()</f>
        <v>0</v>
      </c>
      <c r="L257" t="s">
        <v>21</v>
      </c>
      <c r="M257" t="s">
        <v>22</v>
      </c>
    </row>
    <row r="258" spans="1:13" x14ac:dyDescent="0.3">
      <c r="A258" t="s">
        <v>314</v>
      </c>
      <c r="B258" s="4">
        <v>35846</v>
      </c>
      <c r="C258">
        <v>1998</v>
      </c>
      <c r="D258">
        <v>2</v>
      </c>
      <c r="E258" t="s">
        <v>16</v>
      </c>
      <c r="F258" t="s">
        <v>130</v>
      </c>
      <c r="G258" t="s">
        <v>18</v>
      </c>
      <c r="H258" t="s">
        <v>131</v>
      </c>
      <c r="I258" t="s">
        <v>248</v>
      </c>
      <c r="J258">
        <v>28</v>
      </c>
      <c r="K258" t="b">
        <f>FALSE()</f>
        <v>0</v>
      </c>
      <c r="L258" t="s">
        <v>249</v>
      </c>
      <c r="M258" t="s">
        <v>250</v>
      </c>
    </row>
    <row r="259" spans="1:13" x14ac:dyDescent="0.3">
      <c r="A259" t="s">
        <v>315</v>
      </c>
      <c r="B259" s="4">
        <v>35869</v>
      </c>
      <c r="C259">
        <v>1998</v>
      </c>
      <c r="D259">
        <v>3</v>
      </c>
      <c r="E259" t="s">
        <v>16</v>
      </c>
      <c r="F259" t="s">
        <v>41</v>
      </c>
      <c r="G259" t="s">
        <v>18</v>
      </c>
      <c r="H259" t="s">
        <v>27</v>
      </c>
      <c r="I259" t="s">
        <v>104</v>
      </c>
      <c r="J259">
        <v>50</v>
      </c>
      <c r="K259" t="b">
        <f>FALSE()</f>
        <v>0</v>
      </c>
      <c r="L259" t="s">
        <v>29</v>
      </c>
      <c r="M259" t="s">
        <v>22</v>
      </c>
    </row>
    <row r="260" spans="1:13" x14ac:dyDescent="0.3">
      <c r="A260" t="s">
        <v>316</v>
      </c>
      <c r="B260" s="4">
        <v>35869</v>
      </c>
      <c r="C260">
        <v>1998</v>
      </c>
      <c r="D260">
        <v>3</v>
      </c>
      <c r="E260" t="s">
        <v>16</v>
      </c>
      <c r="F260" t="s">
        <v>118</v>
      </c>
      <c r="G260" t="s">
        <v>119</v>
      </c>
      <c r="H260" t="s">
        <v>120</v>
      </c>
      <c r="I260" t="s">
        <v>281</v>
      </c>
      <c r="J260">
        <v>178</v>
      </c>
      <c r="K260" t="b">
        <f>FALSE()</f>
        <v>0</v>
      </c>
      <c r="L260" t="s">
        <v>122</v>
      </c>
      <c r="M260" t="s">
        <v>250</v>
      </c>
    </row>
    <row r="261" spans="1:13" x14ac:dyDescent="0.3">
      <c r="A261" t="s">
        <v>317</v>
      </c>
      <c r="B261" s="4">
        <v>35927</v>
      </c>
      <c r="C261">
        <v>1998</v>
      </c>
      <c r="D261">
        <v>5</v>
      </c>
      <c r="E261" t="s">
        <v>16</v>
      </c>
      <c r="F261" t="s">
        <v>58</v>
      </c>
      <c r="G261" t="s">
        <v>18</v>
      </c>
      <c r="H261" t="s">
        <v>59</v>
      </c>
      <c r="I261" t="s">
        <v>214</v>
      </c>
      <c r="J261">
        <v>70</v>
      </c>
      <c r="K261" t="b">
        <f>FALSE()</f>
        <v>0</v>
      </c>
      <c r="L261" t="s">
        <v>61</v>
      </c>
      <c r="M261" t="s">
        <v>22</v>
      </c>
    </row>
    <row r="262" spans="1:13" x14ac:dyDescent="0.3">
      <c r="A262" t="s">
        <v>318</v>
      </c>
      <c r="B262" s="4">
        <v>35930</v>
      </c>
      <c r="C262">
        <v>1998</v>
      </c>
      <c r="D262">
        <v>5</v>
      </c>
      <c r="E262" t="s">
        <v>16</v>
      </c>
      <c r="F262" t="s">
        <v>235</v>
      </c>
      <c r="G262" t="s">
        <v>18</v>
      </c>
      <c r="H262" t="s">
        <v>19</v>
      </c>
      <c r="I262" t="s">
        <v>45</v>
      </c>
      <c r="J262">
        <v>50</v>
      </c>
      <c r="K262" t="b">
        <f>FALSE()</f>
        <v>0</v>
      </c>
      <c r="L262" t="s">
        <v>21</v>
      </c>
      <c r="M262" t="s">
        <v>22</v>
      </c>
    </row>
    <row r="263" spans="1:13" x14ac:dyDescent="0.3">
      <c r="A263" t="s">
        <v>319</v>
      </c>
      <c r="B263" s="4">
        <v>35956</v>
      </c>
      <c r="C263">
        <v>1998</v>
      </c>
      <c r="D263">
        <v>6</v>
      </c>
      <c r="E263" t="s">
        <v>16</v>
      </c>
      <c r="F263" t="s">
        <v>235</v>
      </c>
      <c r="G263" t="s">
        <v>18</v>
      </c>
      <c r="H263" t="s">
        <v>19</v>
      </c>
      <c r="I263" t="s">
        <v>45</v>
      </c>
      <c r="J263">
        <v>50</v>
      </c>
      <c r="K263" t="b">
        <f>FALSE()</f>
        <v>0</v>
      </c>
      <c r="L263" t="s">
        <v>21</v>
      </c>
      <c r="M263" t="s">
        <v>22</v>
      </c>
    </row>
    <row r="264" spans="1:13" x14ac:dyDescent="0.3">
      <c r="A264" t="s">
        <v>320</v>
      </c>
      <c r="B264" s="4">
        <v>36019</v>
      </c>
      <c r="C264">
        <v>1998</v>
      </c>
      <c r="D264">
        <v>8</v>
      </c>
      <c r="E264" t="s">
        <v>16</v>
      </c>
      <c r="F264" t="s">
        <v>58</v>
      </c>
      <c r="G264" t="s">
        <v>18</v>
      </c>
      <c r="H264" t="s">
        <v>59</v>
      </c>
      <c r="I264" t="s">
        <v>214</v>
      </c>
      <c r="J264">
        <v>70</v>
      </c>
      <c r="K264" t="b">
        <f>FALSE()</f>
        <v>0</v>
      </c>
      <c r="L264" t="s">
        <v>61</v>
      </c>
      <c r="M264" t="s">
        <v>22</v>
      </c>
    </row>
    <row r="265" spans="1:13" x14ac:dyDescent="0.3">
      <c r="A265" t="s">
        <v>321</v>
      </c>
      <c r="B265" s="4">
        <v>36022</v>
      </c>
      <c r="C265">
        <v>1998</v>
      </c>
      <c r="D265">
        <v>8</v>
      </c>
      <c r="E265" t="s">
        <v>16</v>
      </c>
      <c r="F265" t="s">
        <v>235</v>
      </c>
      <c r="G265" t="s">
        <v>18</v>
      </c>
      <c r="H265" t="s">
        <v>19</v>
      </c>
      <c r="I265" t="s">
        <v>45</v>
      </c>
      <c r="J265">
        <v>50</v>
      </c>
      <c r="K265" t="b">
        <f>FALSE()</f>
        <v>0</v>
      </c>
      <c r="L265" t="s">
        <v>21</v>
      </c>
      <c r="M265" t="s">
        <v>22</v>
      </c>
    </row>
    <row r="266" spans="1:13" x14ac:dyDescent="0.3">
      <c r="A266" t="s">
        <v>322</v>
      </c>
      <c r="B266" s="4">
        <v>36027</v>
      </c>
      <c r="C266">
        <v>1998</v>
      </c>
      <c r="D266">
        <v>8</v>
      </c>
      <c r="E266" t="s">
        <v>16</v>
      </c>
      <c r="F266" t="s">
        <v>130</v>
      </c>
      <c r="G266" t="s">
        <v>18</v>
      </c>
      <c r="H266" t="s">
        <v>131</v>
      </c>
      <c r="I266" t="s">
        <v>248</v>
      </c>
      <c r="J266">
        <v>28</v>
      </c>
      <c r="K266" t="b">
        <f>FALSE()</f>
        <v>0</v>
      </c>
      <c r="L266" t="s">
        <v>249</v>
      </c>
      <c r="M266" t="s">
        <v>250</v>
      </c>
    </row>
    <row r="267" spans="1:13" x14ac:dyDescent="0.3">
      <c r="A267" t="s">
        <v>323</v>
      </c>
      <c r="B267" s="4">
        <v>36119</v>
      </c>
      <c r="C267">
        <v>1998</v>
      </c>
      <c r="D267">
        <v>11</v>
      </c>
      <c r="E267" t="s">
        <v>16</v>
      </c>
      <c r="F267" t="s">
        <v>235</v>
      </c>
      <c r="G267" t="s">
        <v>18</v>
      </c>
      <c r="H267" t="s">
        <v>19</v>
      </c>
      <c r="I267" t="s">
        <v>324</v>
      </c>
      <c r="J267">
        <v>65</v>
      </c>
      <c r="K267" t="b">
        <f>FALSE()</f>
        <v>0</v>
      </c>
      <c r="L267" t="s">
        <v>21</v>
      </c>
      <c r="M267" t="s">
        <v>22</v>
      </c>
    </row>
    <row r="268" spans="1:13" x14ac:dyDescent="0.3">
      <c r="A268" t="s">
        <v>325</v>
      </c>
      <c r="B268" s="4">
        <v>36133</v>
      </c>
      <c r="C268">
        <v>1998</v>
      </c>
      <c r="D268">
        <v>12</v>
      </c>
      <c r="E268" t="s">
        <v>16</v>
      </c>
      <c r="F268" t="s">
        <v>41</v>
      </c>
      <c r="G268" t="s">
        <v>18</v>
      </c>
      <c r="H268" t="s">
        <v>27</v>
      </c>
      <c r="I268" t="s">
        <v>141</v>
      </c>
      <c r="J268">
        <v>450</v>
      </c>
      <c r="K268" t="b">
        <f>TRUE()</f>
        <v>1</v>
      </c>
      <c r="L268" t="s">
        <v>53</v>
      </c>
      <c r="M268" t="s">
        <v>22</v>
      </c>
    </row>
    <row r="269" spans="1:13" x14ac:dyDescent="0.3">
      <c r="A269" t="s">
        <v>326</v>
      </c>
      <c r="B269" s="4">
        <v>36175</v>
      </c>
      <c r="C269">
        <v>1999</v>
      </c>
      <c r="D269">
        <v>1</v>
      </c>
      <c r="E269" t="s">
        <v>16</v>
      </c>
      <c r="F269" t="s">
        <v>118</v>
      </c>
      <c r="G269" t="s">
        <v>119</v>
      </c>
      <c r="H269" t="s">
        <v>120</v>
      </c>
      <c r="I269" t="s">
        <v>281</v>
      </c>
      <c r="J269">
        <v>178</v>
      </c>
      <c r="K269" t="b">
        <f>FALSE()</f>
        <v>0</v>
      </c>
      <c r="L269" t="s">
        <v>122</v>
      </c>
      <c r="M269" t="s">
        <v>250</v>
      </c>
    </row>
    <row r="270" spans="1:13" x14ac:dyDescent="0.3">
      <c r="A270" t="s">
        <v>327</v>
      </c>
      <c r="B270" s="4">
        <v>36201</v>
      </c>
      <c r="C270">
        <v>1999</v>
      </c>
      <c r="D270">
        <v>2</v>
      </c>
      <c r="E270" t="s">
        <v>16</v>
      </c>
      <c r="F270" t="s">
        <v>235</v>
      </c>
      <c r="G270" t="s">
        <v>18</v>
      </c>
      <c r="H270" t="s">
        <v>19</v>
      </c>
      <c r="I270" t="s">
        <v>45</v>
      </c>
      <c r="J270">
        <v>50</v>
      </c>
      <c r="K270" t="b">
        <f>FALSE()</f>
        <v>0</v>
      </c>
      <c r="L270" t="s">
        <v>21</v>
      </c>
      <c r="M270" t="s">
        <v>22</v>
      </c>
    </row>
    <row r="271" spans="1:13" x14ac:dyDescent="0.3">
      <c r="A271" t="s">
        <v>328</v>
      </c>
      <c r="B271" s="4">
        <v>36203</v>
      </c>
      <c r="C271">
        <v>1999</v>
      </c>
      <c r="D271">
        <v>2</v>
      </c>
      <c r="E271" t="s">
        <v>16</v>
      </c>
      <c r="F271" t="s">
        <v>58</v>
      </c>
      <c r="G271" t="s">
        <v>18</v>
      </c>
      <c r="H271" t="s">
        <v>59</v>
      </c>
      <c r="I271" t="s">
        <v>214</v>
      </c>
      <c r="J271">
        <v>70</v>
      </c>
      <c r="K271" t="b">
        <f>FALSE()</f>
        <v>0</v>
      </c>
      <c r="L271" t="s">
        <v>61</v>
      </c>
      <c r="M271" t="s">
        <v>22</v>
      </c>
    </row>
    <row r="272" spans="1:13" x14ac:dyDescent="0.3">
      <c r="A272" t="s">
        <v>329</v>
      </c>
      <c r="B272" s="4">
        <v>36206</v>
      </c>
      <c r="C272">
        <v>1999</v>
      </c>
      <c r="D272">
        <v>2</v>
      </c>
      <c r="E272" t="s">
        <v>16</v>
      </c>
      <c r="F272" t="s">
        <v>235</v>
      </c>
      <c r="G272" t="s">
        <v>18</v>
      </c>
      <c r="H272" t="s">
        <v>19</v>
      </c>
      <c r="I272" t="s">
        <v>45</v>
      </c>
      <c r="J272">
        <v>50</v>
      </c>
      <c r="K272" t="b">
        <f>FALSE()</f>
        <v>0</v>
      </c>
      <c r="L272" t="s">
        <v>21</v>
      </c>
      <c r="M272" t="s">
        <v>22</v>
      </c>
    </row>
    <row r="273" spans="1:13" x14ac:dyDescent="0.3">
      <c r="A273" t="s">
        <v>330</v>
      </c>
      <c r="B273" s="4">
        <v>36211</v>
      </c>
      <c r="C273">
        <v>1999</v>
      </c>
      <c r="D273">
        <v>2</v>
      </c>
      <c r="E273" t="s">
        <v>16</v>
      </c>
      <c r="F273" t="s">
        <v>130</v>
      </c>
      <c r="G273" t="s">
        <v>18</v>
      </c>
      <c r="H273" t="s">
        <v>131</v>
      </c>
      <c r="I273" t="s">
        <v>248</v>
      </c>
      <c r="J273">
        <v>28</v>
      </c>
      <c r="K273" t="b">
        <f>FALSE()</f>
        <v>0</v>
      </c>
      <c r="L273" t="s">
        <v>249</v>
      </c>
      <c r="M273" t="s">
        <v>250</v>
      </c>
    </row>
    <row r="274" spans="1:13" x14ac:dyDescent="0.3">
      <c r="A274" t="s">
        <v>331</v>
      </c>
      <c r="B274" s="4">
        <v>36234</v>
      </c>
      <c r="C274">
        <v>1999</v>
      </c>
      <c r="D274">
        <v>3</v>
      </c>
      <c r="E274" t="s">
        <v>16</v>
      </c>
      <c r="F274" t="s">
        <v>41</v>
      </c>
      <c r="G274" t="s">
        <v>18</v>
      </c>
      <c r="H274" t="s">
        <v>27</v>
      </c>
      <c r="I274" t="s">
        <v>104</v>
      </c>
      <c r="J274">
        <v>50</v>
      </c>
      <c r="K274" t="b">
        <f>FALSE()</f>
        <v>0</v>
      </c>
      <c r="L274" t="s">
        <v>29</v>
      </c>
      <c r="M274" t="s">
        <v>22</v>
      </c>
    </row>
    <row r="275" spans="1:13" x14ac:dyDescent="0.3">
      <c r="A275" t="s">
        <v>332</v>
      </c>
      <c r="B275" s="4">
        <v>36234</v>
      </c>
      <c r="C275">
        <v>1999</v>
      </c>
      <c r="D275">
        <v>3</v>
      </c>
      <c r="E275" t="s">
        <v>16</v>
      </c>
      <c r="F275" t="s">
        <v>118</v>
      </c>
      <c r="G275" t="s">
        <v>119</v>
      </c>
      <c r="H275" t="s">
        <v>120</v>
      </c>
      <c r="I275" t="s">
        <v>281</v>
      </c>
      <c r="J275">
        <v>178</v>
      </c>
      <c r="K275" t="b">
        <f>FALSE()</f>
        <v>0</v>
      </c>
      <c r="L275" t="s">
        <v>122</v>
      </c>
      <c r="M275" t="s">
        <v>250</v>
      </c>
    </row>
    <row r="276" spans="1:13" x14ac:dyDescent="0.3">
      <c r="A276" t="s">
        <v>333</v>
      </c>
      <c r="B276" s="4">
        <v>36292</v>
      </c>
      <c r="C276">
        <v>1999</v>
      </c>
      <c r="D276">
        <v>5</v>
      </c>
      <c r="E276" t="s">
        <v>16</v>
      </c>
      <c r="F276" t="s">
        <v>58</v>
      </c>
      <c r="G276" t="s">
        <v>18</v>
      </c>
      <c r="H276" t="s">
        <v>59</v>
      </c>
      <c r="I276" t="s">
        <v>214</v>
      </c>
      <c r="J276">
        <v>70</v>
      </c>
      <c r="K276" t="b">
        <f>FALSE()</f>
        <v>0</v>
      </c>
      <c r="L276" t="s">
        <v>61</v>
      </c>
      <c r="M276" t="s">
        <v>22</v>
      </c>
    </row>
    <row r="277" spans="1:13" x14ac:dyDescent="0.3">
      <c r="A277" t="s">
        <v>334</v>
      </c>
      <c r="B277" s="4">
        <v>36295</v>
      </c>
      <c r="C277">
        <v>1999</v>
      </c>
      <c r="D277">
        <v>5</v>
      </c>
      <c r="E277" t="s">
        <v>16</v>
      </c>
      <c r="F277" t="s">
        <v>235</v>
      </c>
      <c r="G277" t="s">
        <v>18</v>
      </c>
      <c r="H277" t="s">
        <v>19</v>
      </c>
      <c r="I277" t="s">
        <v>45</v>
      </c>
      <c r="J277">
        <v>50</v>
      </c>
      <c r="K277" t="b">
        <f>FALSE()</f>
        <v>0</v>
      </c>
      <c r="L277" t="s">
        <v>21</v>
      </c>
      <c r="M277" t="s">
        <v>22</v>
      </c>
    </row>
    <row r="278" spans="1:13" x14ac:dyDescent="0.3">
      <c r="A278" t="s">
        <v>335</v>
      </c>
      <c r="B278" s="4">
        <v>36321</v>
      </c>
      <c r="C278">
        <v>1999</v>
      </c>
      <c r="D278">
        <v>6</v>
      </c>
      <c r="E278" t="s">
        <v>16</v>
      </c>
      <c r="F278" t="s">
        <v>235</v>
      </c>
      <c r="G278" t="s">
        <v>18</v>
      </c>
      <c r="H278" t="s">
        <v>19</v>
      </c>
      <c r="I278" t="s">
        <v>45</v>
      </c>
      <c r="J278">
        <v>50</v>
      </c>
      <c r="K278" t="b">
        <f>FALSE()</f>
        <v>0</v>
      </c>
      <c r="L278" t="s">
        <v>21</v>
      </c>
      <c r="M278" t="s">
        <v>22</v>
      </c>
    </row>
    <row r="279" spans="1:13" x14ac:dyDescent="0.3">
      <c r="A279" t="s">
        <v>336</v>
      </c>
      <c r="B279" s="4">
        <v>36364</v>
      </c>
      <c r="C279">
        <v>1999</v>
      </c>
      <c r="D279">
        <v>7</v>
      </c>
      <c r="E279" t="s">
        <v>16</v>
      </c>
      <c r="F279" t="s">
        <v>41</v>
      </c>
      <c r="G279" t="s">
        <v>18</v>
      </c>
      <c r="H279" t="s">
        <v>27</v>
      </c>
      <c r="I279" t="s">
        <v>141</v>
      </c>
      <c r="J279">
        <v>450</v>
      </c>
      <c r="K279" t="b">
        <f>TRUE()</f>
        <v>1</v>
      </c>
      <c r="L279" t="s">
        <v>53</v>
      </c>
      <c r="M279" t="s">
        <v>22</v>
      </c>
    </row>
    <row r="280" spans="1:13" x14ac:dyDescent="0.3">
      <c r="A280" t="s">
        <v>337</v>
      </c>
      <c r="B280" s="4">
        <v>36384</v>
      </c>
      <c r="C280">
        <v>1999</v>
      </c>
      <c r="D280">
        <v>8</v>
      </c>
      <c r="E280" t="s">
        <v>16</v>
      </c>
      <c r="F280" t="s">
        <v>58</v>
      </c>
      <c r="G280" t="s">
        <v>18</v>
      </c>
      <c r="H280" t="s">
        <v>59</v>
      </c>
      <c r="I280" t="s">
        <v>214</v>
      </c>
      <c r="J280">
        <v>70</v>
      </c>
      <c r="K280" t="b">
        <f>FALSE()</f>
        <v>0</v>
      </c>
      <c r="L280" t="s">
        <v>61</v>
      </c>
      <c r="M280" t="s">
        <v>22</v>
      </c>
    </row>
    <row r="281" spans="1:13" x14ac:dyDescent="0.3">
      <c r="A281" t="s">
        <v>338</v>
      </c>
      <c r="B281" s="4">
        <v>36387</v>
      </c>
      <c r="C281">
        <v>1999</v>
      </c>
      <c r="D281">
        <v>8</v>
      </c>
      <c r="E281" t="s">
        <v>16</v>
      </c>
      <c r="F281" t="s">
        <v>235</v>
      </c>
      <c r="G281" t="s">
        <v>18</v>
      </c>
      <c r="H281" t="s">
        <v>19</v>
      </c>
      <c r="I281" t="s">
        <v>45</v>
      </c>
      <c r="J281">
        <v>50</v>
      </c>
      <c r="K281" t="b">
        <f>FALSE()</f>
        <v>0</v>
      </c>
      <c r="L281" t="s">
        <v>21</v>
      </c>
      <c r="M281" t="s">
        <v>22</v>
      </c>
    </row>
    <row r="282" spans="1:13" x14ac:dyDescent="0.3">
      <c r="A282" t="s">
        <v>339</v>
      </c>
      <c r="B282" s="4">
        <v>36392</v>
      </c>
      <c r="C282">
        <v>1999</v>
      </c>
      <c r="D282">
        <v>8</v>
      </c>
      <c r="E282" t="s">
        <v>16</v>
      </c>
      <c r="F282" t="s">
        <v>130</v>
      </c>
      <c r="G282" t="s">
        <v>18</v>
      </c>
      <c r="H282" t="s">
        <v>131</v>
      </c>
      <c r="I282" t="s">
        <v>248</v>
      </c>
      <c r="J282">
        <v>28</v>
      </c>
      <c r="K282" t="b">
        <f>FALSE()</f>
        <v>0</v>
      </c>
      <c r="L282" t="s">
        <v>249</v>
      </c>
      <c r="M282" t="s">
        <v>250</v>
      </c>
    </row>
    <row r="283" spans="1:13" x14ac:dyDescent="0.3">
      <c r="A283" t="s">
        <v>340</v>
      </c>
      <c r="B283" s="4">
        <v>36540</v>
      </c>
      <c r="C283">
        <v>2000</v>
      </c>
      <c r="D283">
        <v>1</v>
      </c>
      <c r="E283" t="s">
        <v>16</v>
      </c>
      <c r="F283" t="s">
        <v>118</v>
      </c>
      <c r="G283" t="s">
        <v>119</v>
      </c>
      <c r="H283" t="s">
        <v>120</v>
      </c>
      <c r="I283" t="s">
        <v>281</v>
      </c>
      <c r="J283">
        <v>178</v>
      </c>
      <c r="K283" t="b">
        <f>FALSE()</f>
        <v>0</v>
      </c>
      <c r="L283" t="s">
        <v>122</v>
      </c>
      <c r="M283" t="s">
        <v>250</v>
      </c>
    </row>
    <row r="284" spans="1:13" x14ac:dyDescent="0.3">
      <c r="A284" t="s">
        <v>341</v>
      </c>
      <c r="B284" s="4">
        <v>36566</v>
      </c>
      <c r="C284">
        <v>2000</v>
      </c>
      <c r="D284">
        <v>2</v>
      </c>
      <c r="E284" t="s">
        <v>16</v>
      </c>
      <c r="F284" t="s">
        <v>235</v>
      </c>
      <c r="G284" t="s">
        <v>18</v>
      </c>
      <c r="H284" t="s">
        <v>19</v>
      </c>
      <c r="I284" t="s">
        <v>45</v>
      </c>
      <c r="J284">
        <v>50</v>
      </c>
      <c r="K284" t="b">
        <f>FALSE()</f>
        <v>0</v>
      </c>
      <c r="L284" t="s">
        <v>21</v>
      </c>
      <c r="M284" t="s">
        <v>250</v>
      </c>
    </row>
    <row r="285" spans="1:13" x14ac:dyDescent="0.3">
      <c r="A285" t="s">
        <v>342</v>
      </c>
      <c r="B285" s="4">
        <v>36568</v>
      </c>
      <c r="C285">
        <v>2000</v>
      </c>
      <c r="D285">
        <v>2</v>
      </c>
      <c r="E285" t="s">
        <v>16</v>
      </c>
      <c r="F285" t="s">
        <v>58</v>
      </c>
      <c r="G285" t="s">
        <v>18</v>
      </c>
      <c r="H285" t="s">
        <v>59</v>
      </c>
      <c r="I285" t="s">
        <v>214</v>
      </c>
      <c r="J285">
        <v>70</v>
      </c>
      <c r="K285" t="b">
        <f>FALSE()</f>
        <v>0</v>
      </c>
      <c r="L285" t="s">
        <v>343</v>
      </c>
      <c r="M285" t="s">
        <v>250</v>
      </c>
    </row>
    <row r="286" spans="1:13" x14ac:dyDescent="0.3">
      <c r="A286" t="s">
        <v>344</v>
      </c>
      <c r="B286" s="4">
        <v>36571</v>
      </c>
      <c r="C286">
        <v>2000</v>
      </c>
      <c r="D286">
        <v>2</v>
      </c>
      <c r="E286" t="s">
        <v>16</v>
      </c>
      <c r="F286" t="s">
        <v>235</v>
      </c>
      <c r="G286" t="s">
        <v>18</v>
      </c>
      <c r="H286" t="s">
        <v>19</v>
      </c>
      <c r="I286" t="s">
        <v>45</v>
      </c>
      <c r="J286">
        <v>50</v>
      </c>
      <c r="K286" t="b">
        <f>FALSE()</f>
        <v>0</v>
      </c>
      <c r="L286" t="s">
        <v>21</v>
      </c>
      <c r="M286" t="s">
        <v>250</v>
      </c>
    </row>
    <row r="287" spans="1:13" x14ac:dyDescent="0.3">
      <c r="A287" t="s">
        <v>345</v>
      </c>
      <c r="B287" s="4">
        <v>36576</v>
      </c>
      <c r="C287">
        <v>2000</v>
      </c>
      <c r="D287">
        <v>2</v>
      </c>
      <c r="E287" t="s">
        <v>16</v>
      </c>
      <c r="F287" t="s">
        <v>130</v>
      </c>
      <c r="G287" t="s">
        <v>18</v>
      </c>
      <c r="H287" t="s">
        <v>131</v>
      </c>
      <c r="I287" t="s">
        <v>248</v>
      </c>
      <c r="J287">
        <v>28</v>
      </c>
      <c r="K287" t="b">
        <f>FALSE()</f>
        <v>0</v>
      </c>
      <c r="L287" t="s">
        <v>249</v>
      </c>
      <c r="M287" t="s">
        <v>250</v>
      </c>
    </row>
    <row r="288" spans="1:13" x14ac:dyDescent="0.3">
      <c r="A288" t="s">
        <v>346</v>
      </c>
      <c r="B288" s="4">
        <v>36600</v>
      </c>
      <c r="C288">
        <v>2000</v>
      </c>
      <c r="D288">
        <v>3</v>
      </c>
      <c r="E288" t="s">
        <v>16</v>
      </c>
      <c r="F288" t="s">
        <v>118</v>
      </c>
      <c r="G288" t="s">
        <v>119</v>
      </c>
      <c r="H288" t="s">
        <v>120</v>
      </c>
      <c r="I288" t="s">
        <v>281</v>
      </c>
      <c r="J288">
        <v>178</v>
      </c>
      <c r="K288" t="b">
        <f>FALSE()</f>
        <v>0</v>
      </c>
      <c r="L288" t="s">
        <v>122</v>
      </c>
      <c r="M288" t="s">
        <v>250</v>
      </c>
    </row>
    <row r="289" spans="1:13" x14ac:dyDescent="0.3">
      <c r="A289" t="s">
        <v>347</v>
      </c>
      <c r="B289" s="4">
        <v>36600</v>
      </c>
      <c r="C289">
        <v>2000</v>
      </c>
      <c r="D289">
        <v>3</v>
      </c>
      <c r="E289" t="s">
        <v>16</v>
      </c>
      <c r="F289" t="s">
        <v>41</v>
      </c>
      <c r="G289" t="s">
        <v>18</v>
      </c>
      <c r="H289" t="s">
        <v>27</v>
      </c>
      <c r="I289" t="s">
        <v>104</v>
      </c>
      <c r="J289">
        <v>50</v>
      </c>
      <c r="K289" t="b">
        <f>FALSE()</f>
        <v>0</v>
      </c>
      <c r="L289" t="s">
        <v>29</v>
      </c>
      <c r="M289" t="s">
        <v>22</v>
      </c>
    </row>
    <row r="290" spans="1:13" x14ac:dyDescent="0.3">
      <c r="A290" t="s">
        <v>348</v>
      </c>
      <c r="B290" s="4">
        <v>36658</v>
      </c>
      <c r="C290">
        <v>2000</v>
      </c>
      <c r="D290">
        <v>5</v>
      </c>
      <c r="E290" t="s">
        <v>16</v>
      </c>
      <c r="F290" t="s">
        <v>58</v>
      </c>
      <c r="G290" t="s">
        <v>18</v>
      </c>
      <c r="H290" t="s">
        <v>59</v>
      </c>
      <c r="I290" t="s">
        <v>214</v>
      </c>
      <c r="J290">
        <v>70</v>
      </c>
      <c r="K290" t="b">
        <f>FALSE()</f>
        <v>0</v>
      </c>
      <c r="L290" t="s">
        <v>343</v>
      </c>
      <c r="M290" t="s">
        <v>250</v>
      </c>
    </row>
    <row r="291" spans="1:13" x14ac:dyDescent="0.3">
      <c r="A291" t="s">
        <v>349</v>
      </c>
      <c r="B291" s="4">
        <v>36661</v>
      </c>
      <c r="C291">
        <v>2000</v>
      </c>
      <c r="D291">
        <v>5</v>
      </c>
      <c r="E291" t="s">
        <v>16</v>
      </c>
      <c r="F291" t="s">
        <v>118</v>
      </c>
      <c r="G291" t="s">
        <v>119</v>
      </c>
      <c r="H291" t="s">
        <v>120</v>
      </c>
      <c r="I291" t="s">
        <v>281</v>
      </c>
      <c r="J291">
        <v>178</v>
      </c>
      <c r="K291" t="b">
        <f>FALSE()</f>
        <v>0</v>
      </c>
      <c r="L291" t="s">
        <v>122</v>
      </c>
      <c r="M291" t="s">
        <v>250</v>
      </c>
    </row>
    <row r="292" spans="1:13" x14ac:dyDescent="0.3">
      <c r="A292" t="s">
        <v>350</v>
      </c>
      <c r="B292" s="4">
        <v>36661</v>
      </c>
      <c r="C292">
        <v>2000</v>
      </c>
      <c r="D292">
        <v>5</v>
      </c>
      <c r="E292" t="s">
        <v>16</v>
      </c>
      <c r="F292" t="s">
        <v>235</v>
      </c>
      <c r="G292" t="s">
        <v>18</v>
      </c>
      <c r="H292" t="s">
        <v>19</v>
      </c>
      <c r="I292" t="s">
        <v>45</v>
      </c>
      <c r="J292">
        <v>50</v>
      </c>
      <c r="K292" t="b">
        <f>FALSE()</f>
        <v>0</v>
      </c>
      <c r="L292" t="s">
        <v>21</v>
      </c>
      <c r="M292" t="s">
        <v>250</v>
      </c>
    </row>
    <row r="293" spans="1:13" x14ac:dyDescent="0.3">
      <c r="A293" t="s">
        <v>351</v>
      </c>
      <c r="B293" s="4">
        <v>36687</v>
      </c>
      <c r="C293">
        <v>2000</v>
      </c>
      <c r="D293">
        <v>6</v>
      </c>
      <c r="E293" t="s">
        <v>16</v>
      </c>
      <c r="F293" t="s">
        <v>235</v>
      </c>
      <c r="G293" t="s">
        <v>18</v>
      </c>
      <c r="H293" t="s">
        <v>19</v>
      </c>
      <c r="I293" t="s">
        <v>45</v>
      </c>
      <c r="J293">
        <v>50</v>
      </c>
      <c r="K293" t="b">
        <f>FALSE()</f>
        <v>0</v>
      </c>
      <c r="L293" t="s">
        <v>21</v>
      </c>
      <c r="M293" t="s">
        <v>250</v>
      </c>
    </row>
    <row r="294" spans="1:13" x14ac:dyDescent="0.3">
      <c r="A294" t="s">
        <v>352</v>
      </c>
      <c r="B294" s="4">
        <v>36722</v>
      </c>
      <c r="C294">
        <v>2000</v>
      </c>
      <c r="D294">
        <v>7</v>
      </c>
      <c r="E294" t="s">
        <v>16</v>
      </c>
      <c r="F294" t="s">
        <v>118</v>
      </c>
      <c r="G294" t="s">
        <v>119</v>
      </c>
      <c r="H294" t="s">
        <v>120</v>
      </c>
      <c r="I294" t="s">
        <v>281</v>
      </c>
      <c r="J294">
        <v>178</v>
      </c>
      <c r="K294" t="b">
        <f>FALSE()</f>
        <v>0</v>
      </c>
      <c r="L294" t="s">
        <v>122</v>
      </c>
      <c r="M294" t="s">
        <v>250</v>
      </c>
    </row>
    <row r="295" spans="1:13" x14ac:dyDescent="0.3">
      <c r="A295" t="s">
        <v>353</v>
      </c>
      <c r="B295" s="4">
        <v>36750</v>
      </c>
      <c r="C295">
        <v>2000</v>
      </c>
      <c r="D295">
        <v>8</v>
      </c>
      <c r="E295" t="s">
        <v>16</v>
      </c>
      <c r="F295" t="s">
        <v>58</v>
      </c>
      <c r="G295" t="s">
        <v>18</v>
      </c>
      <c r="H295" t="s">
        <v>59</v>
      </c>
      <c r="I295" t="s">
        <v>214</v>
      </c>
      <c r="J295">
        <v>70</v>
      </c>
      <c r="K295" t="b">
        <f>FALSE()</f>
        <v>0</v>
      </c>
      <c r="L295" t="s">
        <v>343</v>
      </c>
      <c r="M295" t="s">
        <v>250</v>
      </c>
    </row>
    <row r="296" spans="1:13" x14ac:dyDescent="0.3">
      <c r="A296" t="s">
        <v>354</v>
      </c>
      <c r="B296" s="4">
        <v>36753</v>
      </c>
      <c r="C296">
        <v>2000</v>
      </c>
      <c r="D296">
        <v>8</v>
      </c>
      <c r="E296" t="s">
        <v>16</v>
      </c>
      <c r="F296" t="s">
        <v>235</v>
      </c>
      <c r="G296" t="s">
        <v>18</v>
      </c>
      <c r="H296" t="s">
        <v>19</v>
      </c>
      <c r="I296" t="s">
        <v>45</v>
      </c>
      <c r="J296">
        <v>50</v>
      </c>
      <c r="K296" t="b">
        <f>FALSE()</f>
        <v>0</v>
      </c>
      <c r="L296" t="s">
        <v>21</v>
      </c>
      <c r="M296" t="s">
        <v>250</v>
      </c>
    </row>
    <row r="297" spans="1:13" x14ac:dyDescent="0.3">
      <c r="A297" t="s">
        <v>355</v>
      </c>
      <c r="B297" s="4">
        <v>36758</v>
      </c>
      <c r="C297">
        <v>2000</v>
      </c>
      <c r="D297">
        <v>8</v>
      </c>
      <c r="E297" t="s">
        <v>16</v>
      </c>
      <c r="F297" t="s">
        <v>130</v>
      </c>
      <c r="G297" t="s">
        <v>18</v>
      </c>
      <c r="H297" t="s">
        <v>131</v>
      </c>
      <c r="I297" t="s">
        <v>248</v>
      </c>
      <c r="J297">
        <v>28</v>
      </c>
      <c r="K297" t="b">
        <f>FALSE()</f>
        <v>0</v>
      </c>
      <c r="L297" t="s">
        <v>249</v>
      </c>
      <c r="M297" t="s">
        <v>250</v>
      </c>
    </row>
    <row r="298" spans="1:13" x14ac:dyDescent="0.3">
      <c r="A298" t="s">
        <v>356</v>
      </c>
      <c r="B298" s="4">
        <v>36809</v>
      </c>
      <c r="C298">
        <v>2000</v>
      </c>
      <c r="D298">
        <v>10</v>
      </c>
      <c r="E298" t="s">
        <v>16</v>
      </c>
      <c r="F298" t="s">
        <v>235</v>
      </c>
      <c r="G298" t="s">
        <v>18</v>
      </c>
      <c r="H298" t="s">
        <v>19</v>
      </c>
      <c r="I298" t="s">
        <v>45</v>
      </c>
      <c r="J298">
        <v>50</v>
      </c>
      <c r="K298" t="b">
        <f>FALSE()</f>
        <v>0</v>
      </c>
      <c r="L298" t="s">
        <v>21</v>
      </c>
      <c r="M298" t="s">
        <v>250</v>
      </c>
    </row>
    <row r="299" spans="1:13" x14ac:dyDescent="0.3">
      <c r="A299" t="s">
        <v>357</v>
      </c>
      <c r="B299" s="4">
        <v>36906</v>
      </c>
      <c r="C299">
        <v>2001</v>
      </c>
      <c r="D299">
        <v>1</v>
      </c>
      <c r="E299" t="s">
        <v>16</v>
      </c>
      <c r="F299" t="s">
        <v>118</v>
      </c>
      <c r="G299" t="s">
        <v>119</v>
      </c>
      <c r="H299" t="s">
        <v>120</v>
      </c>
      <c r="I299" t="s">
        <v>281</v>
      </c>
      <c r="J299">
        <v>178</v>
      </c>
      <c r="K299" t="b">
        <f>FALSE()</f>
        <v>0</v>
      </c>
      <c r="L299" t="s">
        <v>122</v>
      </c>
      <c r="M299" t="s">
        <v>250</v>
      </c>
    </row>
    <row r="300" spans="1:13" x14ac:dyDescent="0.3">
      <c r="A300" t="s">
        <v>358</v>
      </c>
      <c r="B300" s="4">
        <v>36932</v>
      </c>
      <c r="C300">
        <v>2001</v>
      </c>
      <c r="D300">
        <v>2</v>
      </c>
      <c r="E300" t="s">
        <v>16</v>
      </c>
      <c r="F300" t="s">
        <v>235</v>
      </c>
      <c r="G300" t="s">
        <v>18</v>
      </c>
      <c r="H300" t="s">
        <v>19</v>
      </c>
      <c r="I300" t="s">
        <v>45</v>
      </c>
      <c r="J300">
        <v>50</v>
      </c>
      <c r="K300" t="b">
        <f>FALSE()</f>
        <v>0</v>
      </c>
      <c r="L300" t="s">
        <v>21</v>
      </c>
      <c r="M300" t="s">
        <v>250</v>
      </c>
    </row>
    <row r="301" spans="1:13" x14ac:dyDescent="0.3">
      <c r="A301" t="s">
        <v>359</v>
      </c>
      <c r="B301" s="4">
        <v>36934</v>
      </c>
      <c r="C301">
        <v>2001</v>
      </c>
      <c r="D301">
        <v>2</v>
      </c>
      <c r="E301" t="s">
        <v>16</v>
      </c>
      <c r="F301" t="s">
        <v>58</v>
      </c>
      <c r="G301" t="s">
        <v>18</v>
      </c>
      <c r="H301" t="s">
        <v>59</v>
      </c>
      <c r="I301" t="s">
        <v>214</v>
      </c>
      <c r="J301">
        <v>70</v>
      </c>
      <c r="K301" t="b">
        <f>FALSE()</f>
        <v>0</v>
      </c>
      <c r="L301" t="s">
        <v>343</v>
      </c>
      <c r="M301" t="s">
        <v>250</v>
      </c>
    </row>
    <row r="302" spans="1:13" x14ac:dyDescent="0.3">
      <c r="A302" t="s">
        <v>360</v>
      </c>
      <c r="B302" s="4">
        <v>36937</v>
      </c>
      <c r="C302">
        <v>2001</v>
      </c>
      <c r="D302">
        <v>2</v>
      </c>
      <c r="E302" t="s">
        <v>16</v>
      </c>
      <c r="F302" t="s">
        <v>235</v>
      </c>
      <c r="G302" t="s">
        <v>18</v>
      </c>
      <c r="H302" t="s">
        <v>19</v>
      </c>
      <c r="I302" t="s">
        <v>45</v>
      </c>
      <c r="J302">
        <v>50</v>
      </c>
      <c r="K302" t="b">
        <f>FALSE()</f>
        <v>0</v>
      </c>
      <c r="L302" t="s">
        <v>21</v>
      </c>
      <c r="M302" t="s">
        <v>250</v>
      </c>
    </row>
    <row r="303" spans="1:13" x14ac:dyDescent="0.3">
      <c r="A303" t="s">
        <v>361</v>
      </c>
      <c r="B303" s="4">
        <v>36942</v>
      </c>
      <c r="C303">
        <v>2001</v>
      </c>
      <c r="D303">
        <v>2</v>
      </c>
      <c r="E303" t="s">
        <v>16</v>
      </c>
      <c r="F303" t="s">
        <v>130</v>
      </c>
      <c r="G303" t="s">
        <v>18</v>
      </c>
      <c r="H303" t="s">
        <v>131</v>
      </c>
      <c r="I303" t="s">
        <v>248</v>
      </c>
      <c r="J303">
        <v>28</v>
      </c>
      <c r="K303" t="b">
        <f>FALSE()</f>
        <v>0</v>
      </c>
      <c r="L303" t="s">
        <v>249</v>
      </c>
      <c r="M303" t="s">
        <v>250</v>
      </c>
    </row>
    <row r="304" spans="1:13" x14ac:dyDescent="0.3">
      <c r="A304" t="s">
        <v>362</v>
      </c>
      <c r="B304" s="4">
        <v>36965</v>
      </c>
      <c r="C304">
        <v>2001</v>
      </c>
      <c r="D304">
        <v>3</v>
      </c>
      <c r="E304" t="s">
        <v>16</v>
      </c>
      <c r="F304" t="s">
        <v>41</v>
      </c>
      <c r="G304" t="s">
        <v>18</v>
      </c>
      <c r="H304" t="s">
        <v>27</v>
      </c>
      <c r="I304" t="s">
        <v>104</v>
      </c>
      <c r="J304">
        <v>50</v>
      </c>
      <c r="K304" t="b">
        <f>FALSE()</f>
        <v>0</v>
      </c>
      <c r="L304" t="s">
        <v>29</v>
      </c>
      <c r="M304" t="s">
        <v>22</v>
      </c>
    </row>
    <row r="305" spans="1:13" x14ac:dyDescent="0.3">
      <c r="A305" t="s">
        <v>363</v>
      </c>
      <c r="B305" s="4">
        <v>36965</v>
      </c>
      <c r="C305">
        <v>2001</v>
      </c>
      <c r="D305">
        <v>3</v>
      </c>
      <c r="E305" t="s">
        <v>16</v>
      </c>
      <c r="F305" t="s">
        <v>118</v>
      </c>
      <c r="G305" t="s">
        <v>119</v>
      </c>
      <c r="H305" t="s">
        <v>120</v>
      </c>
      <c r="I305" t="s">
        <v>281</v>
      </c>
      <c r="J305">
        <v>178</v>
      </c>
      <c r="K305" t="b">
        <f>FALSE()</f>
        <v>0</v>
      </c>
      <c r="L305" t="s">
        <v>122</v>
      </c>
      <c r="M305" t="s">
        <v>250</v>
      </c>
    </row>
    <row r="306" spans="1:13" x14ac:dyDescent="0.3">
      <c r="A306" t="s">
        <v>364</v>
      </c>
      <c r="B306" s="4">
        <v>37023</v>
      </c>
      <c r="C306">
        <v>2001</v>
      </c>
      <c r="D306">
        <v>5</v>
      </c>
      <c r="E306" t="s">
        <v>16</v>
      </c>
      <c r="F306" t="s">
        <v>58</v>
      </c>
      <c r="G306" t="s">
        <v>18</v>
      </c>
      <c r="H306" t="s">
        <v>59</v>
      </c>
      <c r="I306" t="s">
        <v>214</v>
      </c>
      <c r="J306">
        <v>70</v>
      </c>
      <c r="K306" t="b">
        <f>FALSE()</f>
        <v>0</v>
      </c>
      <c r="L306" t="s">
        <v>343</v>
      </c>
      <c r="M306" t="s">
        <v>250</v>
      </c>
    </row>
    <row r="307" spans="1:13" x14ac:dyDescent="0.3">
      <c r="A307" t="s">
        <v>365</v>
      </c>
      <c r="B307" s="4">
        <v>37026</v>
      </c>
      <c r="C307">
        <v>2001</v>
      </c>
      <c r="D307">
        <v>5</v>
      </c>
      <c r="E307" t="s">
        <v>16</v>
      </c>
      <c r="F307" t="s">
        <v>235</v>
      </c>
      <c r="G307" t="s">
        <v>18</v>
      </c>
      <c r="H307" t="s">
        <v>19</v>
      </c>
      <c r="I307" t="s">
        <v>45</v>
      </c>
      <c r="J307">
        <v>50</v>
      </c>
      <c r="K307" t="b">
        <f>FALSE()</f>
        <v>0</v>
      </c>
      <c r="L307" t="s">
        <v>21</v>
      </c>
      <c r="M307" t="s">
        <v>250</v>
      </c>
    </row>
    <row r="308" spans="1:13" x14ac:dyDescent="0.3">
      <c r="A308" t="s">
        <v>366</v>
      </c>
      <c r="B308" s="4">
        <v>37026</v>
      </c>
      <c r="C308">
        <v>2001</v>
      </c>
      <c r="D308">
        <v>5</v>
      </c>
      <c r="E308" t="s">
        <v>16</v>
      </c>
      <c r="F308" t="s">
        <v>118</v>
      </c>
      <c r="G308" t="s">
        <v>119</v>
      </c>
      <c r="H308" t="s">
        <v>120</v>
      </c>
      <c r="I308" t="s">
        <v>281</v>
      </c>
      <c r="J308">
        <v>178</v>
      </c>
      <c r="K308" t="b">
        <f>FALSE()</f>
        <v>0</v>
      </c>
      <c r="L308" t="s">
        <v>122</v>
      </c>
      <c r="M308" t="s">
        <v>250</v>
      </c>
    </row>
    <row r="309" spans="1:13" x14ac:dyDescent="0.3">
      <c r="A309" t="s">
        <v>367</v>
      </c>
      <c r="B309" s="4">
        <v>37052</v>
      </c>
      <c r="C309">
        <v>2001</v>
      </c>
      <c r="D309">
        <v>6</v>
      </c>
      <c r="E309" t="s">
        <v>16</v>
      </c>
      <c r="F309" t="s">
        <v>235</v>
      </c>
      <c r="G309" t="s">
        <v>18</v>
      </c>
      <c r="H309" t="s">
        <v>19</v>
      </c>
      <c r="I309" t="s">
        <v>45</v>
      </c>
      <c r="J309">
        <v>50</v>
      </c>
      <c r="K309" t="b">
        <f>FALSE()</f>
        <v>0</v>
      </c>
      <c r="L309" t="s">
        <v>21</v>
      </c>
      <c r="M309" t="s">
        <v>250</v>
      </c>
    </row>
    <row r="310" spans="1:13" x14ac:dyDescent="0.3">
      <c r="A310" t="s">
        <v>368</v>
      </c>
      <c r="B310" s="4">
        <v>37087</v>
      </c>
      <c r="C310">
        <v>2001</v>
      </c>
      <c r="D310">
        <v>7</v>
      </c>
      <c r="E310" t="s">
        <v>16</v>
      </c>
      <c r="F310" t="s">
        <v>118</v>
      </c>
      <c r="G310" t="s">
        <v>119</v>
      </c>
      <c r="H310" t="s">
        <v>120</v>
      </c>
      <c r="I310" t="s">
        <v>281</v>
      </c>
      <c r="J310">
        <v>178</v>
      </c>
      <c r="K310" t="b">
        <f>FALSE()</f>
        <v>0</v>
      </c>
      <c r="L310" t="s">
        <v>122</v>
      </c>
      <c r="M310" t="s">
        <v>250</v>
      </c>
    </row>
    <row r="311" spans="1:13" x14ac:dyDescent="0.3">
      <c r="A311" t="s">
        <v>369</v>
      </c>
      <c r="B311" s="4">
        <v>37115</v>
      </c>
      <c r="C311">
        <v>2001</v>
      </c>
      <c r="D311">
        <v>8</v>
      </c>
      <c r="E311" t="s">
        <v>16</v>
      </c>
      <c r="F311" t="s">
        <v>58</v>
      </c>
      <c r="G311" t="s">
        <v>18</v>
      </c>
      <c r="H311" t="s">
        <v>59</v>
      </c>
      <c r="I311" t="s">
        <v>214</v>
      </c>
      <c r="J311">
        <v>70</v>
      </c>
      <c r="K311" t="b">
        <f>FALSE()</f>
        <v>0</v>
      </c>
      <c r="L311" t="s">
        <v>343</v>
      </c>
      <c r="M311" t="s">
        <v>250</v>
      </c>
    </row>
    <row r="312" spans="1:13" x14ac:dyDescent="0.3">
      <c r="A312" t="s">
        <v>370</v>
      </c>
      <c r="B312" s="4">
        <v>37118</v>
      </c>
      <c r="C312">
        <v>2001</v>
      </c>
      <c r="D312">
        <v>8</v>
      </c>
      <c r="E312" t="s">
        <v>16</v>
      </c>
      <c r="F312" t="s">
        <v>235</v>
      </c>
      <c r="G312" t="s">
        <v>18</v>
      </c>
      <c r="H312" t="s">
        <v>19</v>
      </c>
      <c r="I312" t="s">
        <v>45</v>
      </c>
      <c r="J312">
        <v>50</v>
      </c>
      <c r="K312" t="b">
        <f>FALSE()</f>
        <v>0</v>
      </c>
      <c r="L312" t="s">
        <v>21</v>
      </c>
      <c r="M312" t="s">
        <v>250</v>
      </c>
    </row>
    <row r="313" spans="1:13" x14ac:dyDescent="0.3">
      <c r="A313" t="s">
        <v>371</v>
      </c>
      <c r="B313" s="4">
        <v>37123</v>
      </c>
      <c r="C313">
        <v>2001</v>
      </c>
      <c r="D313">
        <v>8</v>
      </c>
      <c r="E313" t="s">
        <v>16</v>
      </c>
      <c r="F313" t="s">
        <v>130</v>
      </c>
      <c r="G313" t="s">
        <v>18</v>
      </c>
      <c r="H313" t="s">
        <v>131</v>
      </c>
      <c r="I313" t="s">
        <v>248</v>
      </c>
      <c r="J313">
        <v>28</v>
      </c>
      <c r="K313" t="b">
        <f>FALSE()</f>
        <v>0</v>
      </c>
      <c r="L313" t="s">
        <v>249</v>
      </c>
      <c r="M313" t="s">
        <v>250</v>
      </c>
    </row>
    <row r="314" spans="1:13" x14ac:dyDescent="0.3">
      <c r="A314" t="s">
        <v>372</v>
      </c>
      <c r="B314" s="4">
        <v>37174</v>
      </c>
      <c r="C314">
        <v>2001</v>
      </c>
      <c r="D314">
        <v>10</v>
      </c>
      <c r="E314" t="s">
        <v>16</v>
      </c>
      <c r="F314" t="s">
        <v>235</v>
      </c>
      <c r="G314" t="s">
        <v>18</v>
      </c>
      <c r="H314" t="s">
        <v>19</v>
      </c>
      <c r="I314" t="s">
        <v>45</v>
      </c>
      <c r="J314">
        <v>50</v>
      </c>
      <c r="K314" t="b">
        <f>FALSE()</f>
        <v>0</v>
      </c>
      <c r="L314" t="s">
        <v>21</v>
      </c>
      <c r="M314" t="s">
        <v>250</v>
      </c>
    </row>
    <row r="315" spans="1:13" x14ac:dyDescent="0.3">
      <c r="A315" t="s">
        <v>373</v>
      </c>
      <c r="B315" s="4">
        <v>37271</v>
      </c>
      <c r="C315">
        <v>2002</v>
      </c>
      <c r="D315">
        <v>1</v>
      </c>
      <c r="E315" t="s">
        <v>16</v>
      </c>
      <c r="F315" t="s">
        <v>118</v>
      </c>
      <c r="G315" t="s">
        <v>119</v>
      </c>
      <c r="H315" t="s">
        <v>120</v>
      </c>
      <c r="I315" t="s">
        <v>374</v>
      </c>
      <c r="J315">
        <v>178</v>
      </c>
      <c r="K315" t="b">
        <f>FALSE()</f>
        <v>0</v>
      </c>
      <c r="L315" t="s">
        <v>122</v>
      </c>
      <c r="M315" t="s">
        <v>250</v>
      </c>
    </row>
    <row r="316" spans="1:13" x14ac:dyDescent="0.3">
      <c r="A316" t="s">
        <v>375</v>
      </c>
      <c r="B316" s="4">
        <v>37297</v>
      </c>
      <c r="C316">
        <v>2002</v>
      </c>
      <c r="D316">
        <v>2</v>
      </c>
      <c r="E316" t="s">
        <v>16</v>
      </c>
      <c r="F316" t="s">
        <v>235</v>
      </c>
      <c r="G316" t="s">
        <v>18</v>
      </c>
      <c r="H316" t="s">
        <v>19</v>
      </c>
      <c r="I316" t="s">
        <v>45</v>
      </c>
      <c r="J316">
        <v>50</v>
      </c>
      <c r="K316" t="b">
        <f>FALSE()</f>
        <v>0</v>
      </c>
      <c r="L316" t="s">
        <v>21</v>
      </c>
      <c r="M316" t="s">
        <v>250</v>
      </c>
    </row>
    <row r="317" spans="1:13" x14ac:dyDescent="0.3">
      <c r="A317" t="s">
        <v>376</v>
      </c>
      <c r="B317" s="4">
        <v>37299</v>
      </c>
      <c r="C317">
        <v>2002</v>
      </c>
      <c r="D317">
        <v>2</v>
      </c>
      <c r="E317" t="s">
        <v>16</v>
      </c>
      <c r="F317" t="s">
        <v>58</v>
      </c>
      <c r="G317" t="s">
        <v>18</v>
      </c>
      <c r="H317" t="s">
        <v>59</v>
      </c>
      <c r="I317" t="s">
        <v>214</v>
      </c>
      <c r="J317">
        <v>70</v>
      </c>
      <c r="K317" t="b">
        <f>FALSE()</f>
        <v>0</v>
      </c>
      <c r="L317" t="s">
        <v>343</v>
      </c>
      <c r="M317" t="s">
        <v>250</v>
      </c>
    </row>
    <row r="318" spans="1:13" x14ac:dyDescent="0.3">
      <c r="A318" t="s">
        <v>377</v>
      </c>
      <c r="B318" s="4">
        <v>37302</v>
      </c>
      <c r="C318">
        <v>2002</v>
      </c>
      <c r="D318">
        <v>2</v>
      </c>
      <c r="E318" t="s">
        <v>16</v>
      </c>
      <c r="F318" t="s">
        <v>235</v>
      </c>
      <c r="G318" t="s">
        <v>18</v>
      </c>
      <c r="H318" t="s">
        <v>19</v>
      </c>
      <c r="I318" t="s">
        <v>45</v>
      </c>
      <c r="J318">
        <v>50</v>
      </c>
      <c r="K318" t="b">
        <f>FALSE()</f>
        <v>0</v>
      </c>
      <c r="L318" t="s">
        <v>21</v>
      </c>
      <c r="M318" t="s">
        <v>250</v>
      </c>
    </row>
    <row r="319" spans="1:13" x14ac:dyDescent="0.3">
      <c r="A319" t="s">
        <v>378</v>
      </c>
      <c r="B319" s="4">
        <v>37307</v>
      </c>
      <c r="C319">
        <v>2002</v>
      </c>
      <c r="D319">
        <v>2</v>
      </c>
      <c r="E319" t="s">
        <v>16</v>
      </c>
      <c r="F319" t="s">
        <v>130</v>
      </c>
      <c r="G319" t="s">
        <v>18</v>
      </c>
      <c r="H319" t="s">
        <v>131</v>
      </c>
      <c r="I319" t="s">
        <v>248</v>
      </c>
      <c r="J319">
        <v>28</v>
      </c>
      <c r="K319" t="b">
        <f>FALSE()</f>
        <v>0</v>
      </c>
      <c r="L319" t="s">
        <v>249</v>
      </c>
      <c r="M319" t="s">
        <v>250</v>
      </c>
    </row>
    <row r="320" spans="1:13" x14ac:dyDescent="0.3">
      <c r="A320" t="s">
        <v>379</v>
      </c>
      <c r="B320" s="4">
        <v>37330</v>
      </c>
      <c r="C320">
        <v>2002</v>
      </c>
      <c r="D320">
        <v>3</v>
      </c>
      <c r="E320" t="s">
        <v>16</v>
      </c>
      <c r="F320" t="s">
        <v>118</v>
      </c>
      <c r="G320" t="s">
        <v>119</v>
      </c>
      <c r="H320" t="s">
        <v>120</v>
      </c>
      <c r="I320" t="s">
        <v>374</v>
      </c>
      <c r="J320">
        <v>178</v>
      </c>
      <c r="K320" t="b">
        <f>FALSE()</f>
        <v>0</v>
      </c>
      <c r="L320" t="s">
        <v>122</v>
      </c>
      <c r="M320" t="s">
        <v>250</v>
      </c>
    </row>
    <row r="321" spans="1:13" x14ac:dyDescent="0.3">
      <c r="A321" t="s">
        <v>380</v>
      </c>
      <c r="B321" s="4">
        <v>37330</v>
      </c>
      <c r="C321">
        <v>2002</v>
      </c>
      <c r="D321">
        <v>3</v>
      </c>
      <c r="E321" t="s">
        <v>16</v>
      </c>
      <c r="F321" t="s">
        <v>41</v>
      </c>
      <c r="G321" t="s">
        <v>18</v>
      </c>
      <c r="H321" t="s">
        <v>27</v>
      </c>
      <c r="I321" t="s">
        <v>104</v>
      </c>
      <c r="J321">
        <v>50</v>
      </c>
      <c r="K321" t="b">
        <f>FALSE()</f>
        <v>0</v>
      </c>
      <c r="L321" t="s">
        <v>29</v>
      </c>
      <c r="M321" t="s">
        <v>22</v>
      </c>
    </row>
    <row r="322" spans="1:13" x14ac:dyDescent="0.3">
      <c r="A322" t="s">
        <v>381</v>
      </c>
      <c r="B322" s="4">
        <v>37388</v>
      </c>
      <c r="C322">
        <v>2002</v>
      </c>
      <c r="D322">
        <v>5</v>
      </c>
      <c r="E322" t="s">
        <v>16</v>
      </c>
      <c r="F322" t="s">
        <v>58</v>
      </c>
      <c r="G322" t="s">
        <v>18</v>
      </c>
      <c r="H322" t="s">
        <v>59</v>
      </c>
      <c r="I322" t="s">
        <v>214</v>
      </c>
      <c r="J322">
        <v>70</v>
      </c>
      <c r="K322" t="b">
        <f>FALSE()</f>
        <v>0</v>
      </c>
      <c r="L322" t="s">
        <v>343</v>
      </c>
      <c r="M322" t="s">
        <v>250</v>
      </c>
    </row>
    <row r="323" spans="1:13" x14ac:dyDescent="0.3">
      <c r="A323" t="s">
        <v>382</v>
      </c>
      <c r="B323" s="4">
        <v>37391</v>
      </c>
      <c r="C323">
        <v>2002</v>
      </c>
      <c r="D323">
        <v>5</v>
      </c>
      <c r="E323" t="s">
        <v>16</v>
      </c>
      <c r="F323" t="s">
        <v>235</v>
      </c>
      <c r="G323" t="s">
        <v>18</v>
      </c>
      <c r="H323" t="s">
        <v>19</v>
      </c>
      <c r="I323" t="s">
        <v>45</v>
      </c>
      <c r="J323">
        <v>50</v>
      </c>
      <c r="K323" t="b">
        <f>FALSE()</f>
        <v>0</v>
      </c>
      <c r="L323" t="s">
        <v>21</v>
      </c>
      <c r="M323" t="s">
        <v>250</v>
      </c>
    </row>
    <row r="324" spans="1:13" x14ac:dyDescent="0.3">
      <c r="A324" t="s">
        <v>383</v>
      </c>
      <c r="B324" s="4">
        <v>37391</v>
      </c>
      <c r="C324">
        <v>2002</v>
      </c>
      <c r="D324">
        <v>5</v>
      </c>
      <c r="E324" t="s">
        <v>16</v>
      </c>
      <c r="F324" t="s">
        <v>118</v>
      </c>
      <c r="G324" t="s">
        <v>119</v>
      </c>
      <c r="H324" t="s">
        <v>120</v>
      </c>
      <c r="I324" t="s">
        <v>374</v>
      </c>
      <c r="J324">
        <v>178</v>
      </c>
      <c r="K324" t="b">
        <f>FALSE()</f>
        <v>0</v>
      </c>
      <c r="L324" t="s">
        <v>122</v>
      </c>
      <c r="M324" t="s">
        <v>250</v>
      </c>
    </row>
    <row r="325" spans="1:13" x14ac:dyDescent="0.3">
      <c r="A325" t="s">
        <v>384</v>
      </c>
      <c r="B325" s="4">
        <v>37417</v>
      </c>
      <c r="C325">
        <v>2002</v>
      </c>
      <c r="D325">
        <v>6</v>
      </c>
      <c r="E325" t="s">
        <v>16</v>
      </c>
      <c r="F325" t="s">
        <v>235</v>
      </c>
      <c r="G325" t="s">
        <v>18</v>
      </c>
      <c r="H325" t="s">
        <v>19</v>
      </c>
      <c r="I325" t="s">
        <v>45</v>
      </c>
      <c r="J325">
        <v>50</v>
      </c>
      <c r="K325" t="b">
        <f>FALSE()</f>
        <v>0</v>
      </c>
      <c r="L325" t="s">
        <v>21</v>
      </c>
      <c r="M325" t="s">
        <v>250</v>
      </c>
    </row>
    <row r="326" spans="1:13" x14ac:dyDescent="0.3">
      <c r="A326" t="s">
        <v>385</v>
      </c>
      <c r="B326" s="4">
        <v>37452</v>
      </c>
      <c r="C326">
        <v>2002</v>
      </c>
      <c r="D326">
        <v>7</v>
      </c>
      <c r="E326" t="s">
        <v>25</v>
      </c>
      <c r="F326" t="s">
        <v>118</v>
      </c>
      <c r="G326" t="s">
        <v>119</v>
      </c>
      <c r="H326" t="s">
        <v>120</v>
      </c>
      <c r="I326" t="s">
        <v>374</v>
      </c>
      <c r="J326">
        <v>178</v>
      </c>
      <c r="K326" t="b">
        <f>FALSE()</f>
        <v>0</v>
      </c>
      <c r="L326" t="s">
        <v>122</v>
      </c>
      <c r="M326" t="s">
        <v>250</v>
      </c>
    </row>
    <row r="327" spans="1:13" x14ac:dyDescent="0.3">
      <c r="A327" t="s">
        <v>386</v>
      </c>
      <c r="B327" s="4">
        <v>37480</v>
      </c>
      <c r="C327">
        <v>2002</v>
      </c>
      <c r="D327">
        <v>8</v>
      </c>
      <c r="E327" t="s">
        <v>16</v>
      </c>
      <c r="F327" t="s">
        <v>58</v>
      </c>
      <c r="G327" t="s">
        <v>18</v>
      </c>
      <c r="H327" t="s">
        <v>59</v>
      </c>
      <c r="I327" t="s">
        <v>214</v>
      </c>
      <c r="J327">
        <v>70</v>
      </c>
      <c r="K327" t="b">
        <f>FALSE()</f>
        <v>0</v>
      </c>
      <c r="L327" t="s">
        <v>343</v>
      </c>
      <c r="M327" t="s">
        <v>250</v>
      </c>
    </row>
    <row r="328" spans="1:13" x14ac:dyDescent="0.3">
      <c r="A328" t="s">
        <v>387</v>
      </c>
      <c r="B328" s="4">
        <v>37483</v>
      </c>
      <c r="C328">
        <v>2002</v>
      </c>
      <c r="D328">
        <v>8</v>
      </c>
      <c r="E328" t="s">
        <v>16</v>
      </c>
      <c r="F328" t="s">
        <v>235</v>
      </c>
      <c r="G328" t="s">
        <v>18</v>
      </c>
      <c r="H328" t="s">
        <v>19</v>
      </c>
      <c r="I328" t="s">
        <v>45</v>
      </c>
      <c r="J328">
        <v>50</v>
      </c>
      <c r="K328" t="b">
        <f>FALSE()</f>
        <v>0</v>
      </c>
      <c r="L328" t="s">
        <v>21</v>
      </c>
      <c r="M328" t="s">
        <v>250</v>
      </c>
    </row>
    <row r="329" spans="1:13" x14ac:dyDescent="0.3">
      <c r="A329" t="s">
        <v>388</v>
      </c>
      <c r="B329" s="4">
        <v>37488</v>
      </c>
      <c r="C329">
        <v>2002</v>
      </c>
      <c r="D329">
        <v>8</v>
      </c>
      <c r="E329" t="s">
        <v>16</v>
      </c>
      <c r="F329" t="s">
        <v>130</v>
      </c>
      <c r="G329" t="s">
        <v>18</v>
      </c>
      <c r="H329" t="s">
        <v>131</v>
      </c>
      <c r="I329" t="s">
        <v>248</v>
      </c>
      <c r="J329">
        <v>28</v>
      </c>
      <c r="K329" t="b">
        <f>FALSE()</f>
        <v>0</v>
      </c>
      <c r="L329" t="s">
        <v>249</v>
      </c>
      <c r="M329" t="s">
        <v>250</v>
      </c>
    </row>
    <row r="330" spans="1:13" x14ac:dyDescent="0.3">
      <c r="A330" t="s">
        <v>389</v>
      </c>
      <c r="B330" s="4">
        <v>37539</v>
      </c>
      <c r="C330">
        <v>2002</v>
      </c>
      <c r="D330">
        <v>10</v>
      </c>
      <c r="E330" t="s">
        <v>16</v>
      </c>
      <c r="F330" t="s">
        <v>235</v>
      </c>
      <c r="G330" t="s">
        <v>18</v>
      </c>
      <c r="H330" t="s">
        <v>19</v>
      </c>
      <c r="I330" t="s">
        <v>45</v>
      </c>
      <c r="J330">
        <v>50</v>
      </c>
      <c r="K330" t="b">
        <f>FALSE()</f>
        <v>0</v>
      </c>
      <c r="L330" t="s">
        <v>21</v>
      </c>
      <c r="M330" t="s">
        <v>250</v>
      </c>
    </row>
    <row r="331" spans="1:13" x14ac:dyDescent="0.3">
      <c r="A331" t="s">
        <v>390</v>
      </c>
      <c r="B331" s="4">
        <v>37636</v>
      </c>
      <c r="C331">
        <v>2003</v>
      </c>
      <c r="D331">
        <v>1</v>
      </c>
      <c r="E331" t="s">
        <v>16</v>
      </c>
      <c r="F331" t="s">
        <v>118</v>
      </c>
      <c r="G331" t="s">
        <v>119</v>
      </c>
      <c r="H331" t="s">
        <v>120</v>
      </c>
      <c r="I331" t="s">
        <v>374</v>
      </c>
      <c r="J331">
        <v>178</v>
      </c>
      <c r="K331" t="b">
        <f>FALSE()</f>
        <v>0</v>
      </c>
      <c r="L331" t="s">
        <v>122</v>
      </c>
      <c r="M331" t="s">
        <v>250</v>
      </c>
    </row>
    <row r="332" spans="1:13" x14ac:dyDescent="0.3">
      <c r="A332" t="s">
        <v>391</v>
      </c>
      <c r="B332" s="4">
        <v>37637</v>
      </c>
      <c r="C332">
        <v>2003</v>
      </c>
      <c r="D332">
        <v>1</v>
      </c>
      <c r="E332" t="s">
        <v>25</v>
      </c>
      <c r="F332" t="s">
        <v>41</v>
      </c>
      <c r="G332" t="s">
        <v>18</v>
      </c>
      <c r="H332" t="s">
        <v>27</v>
      </c>
      <c r="I332" t="s">
        <v>141</v>
      </c>
      <c r="J332">
        <v>450</v>
      </c>
      <c r="K332" t="b">
        <f>TRUE()</f>
        <v>1</v>
      </c>
      <c r="L332" t="s">
        <v>53</v>
      </c>
      <c r="M332" t="s">
        <v>22</v>
      </c>
    </row>
    <row r="333" spans="1:13" x14ac:dyDescent="0.3">
      <c r="A333" t="s">
        <v>392</v>
      </c>
      <c r="B333" s="4">
        <v>37662</v>
      </c>
      <c r="C333">
        <v>2003</v>
      </c>
      <c r="D333">
        <v>2</v>
      </c>
      <c r="E333" t="s">
        <v>16</v>
      </c>
      <c r="F333" t="s">
        <v>235</v>
      </c>
      <c r="G333" t="s">
        <v>18</v>
      </c>
      <c r="H333" t="s">
        <v>19</v>
      </c>
      <c r="I333" t="s">
        <v>45</v>
      </c>
      <c r="J333">
        <v>50</v>
      </c>
      <c r="K333" t="b">
        <f>FALSE()</f>
        <v>0</v>
      </c>
      <c r="L333" t="s">
        <v>21</v>
      </c>
      <c r="M333" t="s">
        <v>250</v>
      </c>
    </row>
    <row r="334" spans="1:13" x14ac:dyDescent="0.3">
      <c r="A334" t="s">
        <v>393</v>
      </c>
      <c r="B334" s="4">
        <v>37664</v>
      </c>
      <c r="C334">
        <v>2003</v>
      </c>
      <c r="D334">
        <v>2</v>
      </c>
      <c r="E334" t="s">
        <v>16</v>
      </c>
      <c r="F334" t="s">
        <v>58</v>
      </c>
      <c r="G334" t="s">
        <v>18</v>
      </c>
      <c r="H334" t="s">
        <v>59</v>
      </c>
      <c r="I334" t="s">
        <v>214</v>
      </c>
      <c r="J334">
        <v>70</v>
      </c>
      <c r="K334" t="b">
        <f>FALSE()</f>
        <v>0</v>
      </c>
      <c r="L334" t="s">
        <v>343</v>
      </c>
      <c r="M334" t="s">
        <v>250</v>
      </c>
    </row>
    <row r="335" spans="1:13" x14ac:dyDescent="0.3">
      <c r="A335" t="s">
        <v>394</v>
      </c>
      <c r="B335" s="4">
        <v>37667</v>
      </c>
      <c r="C335">
        <v>2003</v>
      </c>
      <c r="D335">
        <v>2</v>
      </c>
      <c r="E335" t="s">
        <v>16</v>
      </c>
      <c r="F335" t="s">
        <v>235</v>
      </c>
      <c r="G335" t="s">
        <v>18</v>
      </c>
      <c r="H335" t="s">
        <v>19</v>
      </c>
      <c r="I335" t="s">
        <v>45</v>
      </c>
      <c r="J335">
        <v>50</v>
      </c>
      <c r="K335" t="b">
        <f>FALSE()</f>
        <v>0</v>
      </c>
      <c r="L335" t="s">
        <v>21</v>
      </c>
      <c r="M335" t="s">
        <v>250</v>
      </c>
    </row>
    <row r="336" spans="1:13" x14ac:dyDescent="0.3">
      <c r="A336" t="s">
        <v>395</v>
      </c>
      <c r="B336" s="4">
        <v>37672</v>
      </c>
      <c r="C336">
        <v>2003</v>
      </c>
      <c r="D336">
        <v>2</v>
      </c>
      <c r="E336" t="s">
        <v>16</v>
      </c>
      <c r="F336" t="s">
        <v>130</v>
      </c>
      <c r="G336" t="s">
        <v>18</v>
      </c>
      <c r="H336" t="s">
        <v>131</v>
      </c>
      <c r="I336" t="s">
        <v>248</v>
      </c>
      <c r="J336">
        <v>28</v>
      </c>
      <c r="K336" t="b">
        <f>FALSE()</f>
        <v>0</v>
      </c>
      <c r="L336" t="s">
        <v>249</v>
      </c>
      <c r="M336" t="s">
        <v>250</v>
      </c>
    </row>
    <row r="337" spans="1:13" x14ac:dyDescent="0.3">
      <c r="A337" t="s">
        <v>396</v>
      </c>
      <c r="B337" s="4">
        <v>37695</v>
      </c>
      <c r="C337">
        <v>2003</v>
      </c>
      <c r="D337">
        <v>3</v>
      </c>
      <c r="E337" t="s">
        <v>16</v>
      </c>
      <c r="F337" t="s">
        <v>41</v>
      </c>
      <c r="G337" t="s">
        <v>18</v>
      </c>
      <c r="H337" t="s">
        <v>27</v>
      </c>
      <c r="I337" t="s">
        <v>104</v>
      </c>
      <c r="J337">
        <v>50</v>
      </c>
      <c r="K337" t="b">
        <f>FALSE()</f>
        <v>0</v>
      </c>
      <c r="L337" t="s">
        <v>29</v>
      </c>
      <c r="M337" t="s">
        <v>22</v>
      </c>
    </row>
    <row r="338" spans="1:13" x14ac:dyDescent="0.3">
      <c r="A338" t="s">
        <v>397</v>
      </c>
      <c r="B338" s="4">
        <v>37695</v>
      </c>
      <c r="C338">
        <v>2003</v>
      </c>
      <c r="D338">
        <v>3</v>
      </c>
      <c r="E338" t="s">
        <v>16</v>
      </c>
      <c r="F338" t="s">
        <v>118</v>
      </c>
      <c r="G338" t="s">
        <v>119</v>
      </c>
      <c r="H338" t="s">
        <v>120</v>
      </c>
      <c r="I338" t="s">
        <v>374</v>
      </c>
      <c r="J338">
        <v>178</v>
      </c>
      <c r="K338" t="b">
        <f>FALSE()</f>
        <v>0</v>
      </c>
      <c r="L338" t="s">
        <v>122</v>
      </c>
      <c r="M338" t="s">
        <v>250</v>
      </c>
    </row>
    <row r="339" spans="1:13" x14ac:dyDescent="0.3">
      <c r="A339" t="s">
        <v>398</v>
      </c>
      <c r="B339" s="4">
        <v>37750</v>
      </c>
      <c r="C339">
        <v>2003</v>
      </c>
      <c r="D339">
        <v>5</v>
      </c>
      <c r="E339" t="s">
        <v>16</v>
      </c>
      <c r="F339" t="s">
        <v>399</v>
      </c>
      <c r="G339" t="s">
        <v>18</v>
      </c>
      <c r="H339" t="s">
        <v>400</v>
      </c>
      <c r="I339" t="s">
        <v>401</v>
      </c>
      <c r="J339">
        <v>75</v>
      </c>
      <c r="K339" t="b">
        <f>FALSE()</f>
        <v>0</v>
      </c>
      <c r="L339" t="s">
        <v>402</v>
      </c>
      <c r="M339" t="s">
        <v>22</v>
      </c>
    </row>
    <row r="340" spans="1:13" x14ac:dyDescent="0.3">
      <c r="A340" t="s">
        <v>403</v>
      </c>
      <c r="B340" s="4">
        <v>37753</v>
      </c>
      <c r="C340">
        <v>2003</v>
      </c>
      <c r="D340">
        <v>5</v>
      </c>
      <c r="E340" t="s">
        <v>16</v>
      </c>
      <c r="F340" t="s">
        <v>58</v>
      </c>
      <c r="G340" t="s">
        <v>18</v>
      </c>
      <c r="H340" t="s">
        <v>59</v>
      </c>
      <c r="I340" t="s">
        <v>214</v>
      </c>
      <c r="J340">
        <v>70</v>
      </c>
      <c r="K340" t="b">
        <f>FALSE()</f>
        <v>0</v>
      </c>
      <c r="L340" t="s">
        <v>343</v>
      </c>
      <c r="M340" t="s">
        <v>250</v>
      </c>
    </row>
    <row r="341" spans="1:13" x14ac:dyDescent="0.3">
      <c r="A341" t="s">
        <v>404</v>
      </c>
      <c r="B341" s="4">
        <v>37756</v>
      </c>
      <c r="C341">
        <v>2003</v>
      </c>
      <c r="D341">
        <v>5</v>
      </c>
      <c r="E341" t="s">
        <v>16</v>
      </c>
      <c r="F341" t="s">
        <v>118</v>
      </c>
      <c r="G341" t="s">
        <v>119</v>
      </c>
      <c r="H341" t="s">
        <v>120</v>
      </c>
      <c r="I341" t="s">
        <v>374</v>
      </c>
      <c r="J341">
        <v>178</v>
      </c>
      <c r="K341" t="b">
        <f>FALSE()</f>
        <v>0</v>
      </c>
      <c r="L341" t="s">
        <v>122</v>
      </c>
      <c r="M341" t="s">
        <v>250</v>
      </c>
    </row>
    <row r="342" spans="1:13" x14ac:dyDescent="0.3">
      <c r="A342" t="s">
        <v>405</v>
      </c>
      <c r="B342" s="4">
        <v>37756</v>
      </c>
      <c r="C342">
        <v>2003</v>
      </c>
      <c r="D342">
        <v>5</v>
      </c>
      <c r="E342" t="s">
        <v>16</v>
      </c>
      <c r="F342" t="s">
        <v>235</v>
      </c>
      <c r="G342" t="s">
        <v>18</v>
      </c>
      <c r="H342" t="s">
        <v>19</v>
      </c>
      <c r="I342" t="s">
        <v>45</v>
      </c>
      <c r="J342">
        <v>50</v>
      </c>
      <c r="K342" t="b">
        <f>FALSE()</f>
        <v>0</v>
      </c>
      <c r="L342" t="s">
        <v>21</v>
      </c>
      <c r="M342" t="s">
        <v>250</v>
      </c>
    </row>
    <row r="343" spans="1:13" x14ac:dyDescent="0.3">
      <c r="A343" t="s">
        <v>406</v>
      </c>
      <c r="B343" s="4">
        <v>37782</v>
      </c>
      <c r="C343">
        <v>2003</v>
      </c>
      <c r="D343">
        <v>6</v>
      </c>
      <c r="E343" t="s">
        <v>16</v>
      </c>
      <c r="F343" t="s">
        <v>41</v>
      </c>
      <c r="G343" t="s">
        <v>18</v>
      </c>
      <c r="H343" t="s">
        <v>27</v>
      </c>
      <c r="I343" t="s">
        <v>104</v>
      </c>
      <c r="J343">
        <v>50</v>
      </c>
      <c r="K343" t="b">
        <f>FALSE()</f>
        <v>0</v>
      </c>
      <c r="L343" t="s">
        <v>29</v>
      </c>
      <c r="M343" t="s">
        <v>22</v>
      </c>
    </row>
    <row r="344" spans="1:13" x14ac:dyDescent="0.3">
      <c r="A344" t="s">
        <v>407</v>
      </c>
      <c r="B344" s="4">
        <v>37782</v>
      </c>
      <c r="C344">
        <v>2003</v>
      </c>
      <c r="D344">
        <v>6</v>
      </c>
      <c r="E344" t="s">
        <v>16</v>
      </c>
      <c r="F344" t="s">
        <v>235</v>
      </c>
      <c r="G344" t="s">
        <v>18</v>
      </c>
      <c r="H344" t="s">
        <v>19</v>
      </c>
      <c r="I344" t="s">
        <v>45</v>
      </c>
      <c r="J344">
        <v>50</v>
      </c>
      <c r="K344" t="b">
        <f>FALSE()</f>
        <v>0</v>
      </c>
      <c r="L344" t="s">
        <v>21</v>
      </c>
      <c r="M344" t="s">
        <v>250</v>
      </c>
    </row>
    <row r="345" spans="1:13" x14ac:dyDescent="0.3">
      <c r="A345" t="s">
        <v>408</v>
      </c>
      <c r="B345" s="4">
        <v>37809</v>
      </c>
      <c r="C345">
        <v>2003</v>
      </c>
      <c r="D345">
        <v>7</v>
      </c>
      <c r="E345" t="s">
        <v>16</v>
      </c>
      <c r="F345" t="s">
        <v>41</v>
      </c>
      <c r="G345" t="s">
        <v>18</v>
      </c>
      <c r="H345" t="s">
        <v>27</v>
      </c>
      <c r="I345" t="s">
        <v>104</v>
      </c>
      <c r="J345">
        <v>50</v>
      </c>
      <c r="K345" t="b">
        <f>FALSE()</f>
        <v>0</v>
      </c>
      <c r="L345" t="s">
        <v>29</v>
      </c>
      <c r="M345" t="s">
        <v>22</v>
      </c>
    </row>
    <row r="346" spans="1:13" x14ac:dyDescent="0.3">
      <c r="A346" t="s">
        <v>409</v>
      </c>
      <c r="B346" s="4">
        <v>37817</v>
      </c>
      <c r="C346">
        <v>2003</v>
      </c>
      <c r="D346">
        <v>7</v>
      </c>
      <c r="E346" t="s">
        <v>16</v>
      </c>
      <c r="F346" t="s">
        <v>118</v>
      </c>
      <c r="G346" t="s">
        <v>119</v>
      </c>
      <c r="H346" t="s">
        <v>120</v>
      </c>
      <c r="I346" t="s">
        <v>374</v>
      </c>
      <c r="J346">
        <v>178</v>
      </c>
      <c r="K346" t="b">
        <f>FALSE()</f>
        <v>0</v>
      </c>
      <c r="L346" t="s">
        <v>122</v>
      </c>
      <c r="M346" t="s">
        <v>250</v>
      </c>
    </row>
    <row r="347" spans="1:13" x14ac:dyDescent="0.3">
      <c r="A347" t="s">
        <v>410</v>
      </c>
      <c r="B347" s="4">
        <v>37845</v>
      </c>
      <c r="C347">
        <v>2003</v>
      </c>
      <c r="D347">
        <v>8</v>
      </c>
      <c r="E347" t="s">
        <v>16</v>
      </c>
      <c r="F347" t="s">
        <v>58</v>
      </c>
      <c r="G347" t="s">
        <v>18</v>
      </c>
      <c r="H347" t="s">
        <v>59</v>
      </c>
      <c r="I347" t="s">
        <v>214</v>
      </c>
      <c r="J347">
        <v>70</v>
      </c>
      <c r="K347" t="b">
        <f>FALSE()</f>
        <v>0</v>
      </c>
      <c r="L347" t="s">
        <v>343</v>
      </c>
      <c r="M347" t="s">
        <v>250</v>
      </c>
    </row>
    <row r="348" spans="1:13" x14ac:dyDescent="0.3">
      <c r="A348" t="s">
        <v>411</v>
      </c>
      <c r="B348" s="4">
        <v>37848</v>
      </c>
      <c r="C348">
        <v>2003</v>
      </c>
      <c r="D348">
        <v>8</v>
      </c>
      <c r="E348" t="s">
        <v>16</v>
      </c>
      <c r="F348" t="s">
        <v>235</v>
      </c>
      <c r="G348" t="s">
        <v>18</v>
      </c>
      <c r="H348" t="s">
        <v>19</v>
      </c>
      <c r="I348" t="s">
        <v>45</v>
      </c>
      <c r="J348">
        <v>50</v>
      </c>
      <c r="K348" t="b">
        <f>FALSE()</f>
        <v>0</v>
      </c>
      <c r="L348" t="s">
        <v>21</v>
      </c>
      <c r="M348" t="s">
        <v>250</v>
      </c>
    </row>
    <row r="349" spans="1:13" x14ac:dyDescent="0.3">
      <c r="A349" t="s">
        <v>412</v>
      </c>
      <c r="B349" s="4">
        <v>37853</v>
      </c>
      <c r="C349">
        <v>2003</v>
      </c>
      <c r="D349">
        <v>8</v>
      </c>
      <c r="E349" t="s">
        <v>16</v>
      </c>
      <c r="F349" t="s">
        <v>130</v>
      </c>
      <c r="G349" t="s">
        <v>18</v>
      </c>
      <c r="H349" t="s">
        <v>131</v>
      </c>
      <c r="I349" t="s">
        <v>248</v>
      </c>
      <c r="J349">
        <v>28</v>
      </c>
      <c r="K349" t="b">
        <f>FALSE()</f>
        <v>0</v>
      </c>
      <c r="L349" t="s">
        <v>249</v>
      </c>
      <c r="M349" t="s">
        <v>250</v>
      </c>
    </row>
    <row r="350" spans="1:13" x14ac:dyDescent="0.3">
      <c r="A350" t="s">
        <v>413</v>
      </c>
      <c r="B350" s="4">
        <v>37858</v>
      </c>
      <c r="C350">
        <v>2003</v>
      </c>
      <c r="D350">
        <v>8</v>
      </c>
      <c r="E350" t="s">
        <v>16</v>
      </c>
      <c r="F350" t="s">
        <v>41</v>
      </c>
      <c r="G350" t="s">
        <v>18</v>
      </c>
      <c r="H350" t="s">
        <v>27</v>
      </c>
      <c r="I350" t="s">
        <v>414</v>
      </c>
      <c r="J350">
        <v>50</v>
      </c>
      <c r="K350" t="b">
        <f>FALSE()</f>
        <v>0</v>
      </c>
      <c r="L350" t="s">
        <v>29</v>
      </c>
      <c r="M350" t="s">
        <v>22</v>
      </c>
    </row>
    <row r="351" spans="1:13" x14ac:dyDescent="0.3">
      <c r="A351" t="s">
        <v>415</v>
      </c>
      <c r="B351" s="4">
        <v>37904</v>
      </c>
      <c r="C351">
        <v>2003</v>
      </c>
      <c r="D351">
        <v>10</v>
      </c>
      <c r="E351" t="s">
        <v>16</v>
      </c>
      <c r="F351" t="s">
        <v>235</v>
      </c>
      <c r="G351" t="s">
        <v>18</v>
      </c>
      <c r="H351" t="s">
        <v>19</v>
      </c>
      <c r="I351" t="s">
        <v>45</v>
      </c>
      <c r="J351">
        <v>50</v>
      </c>
      <c r="K351" t="b">
        <f>FALSE()</f>
        <v>0</v>
      </c>
      <c r="L351" t="s">
        <v>21</v>
      </c>
      <c r="M351" t="s">
        <v>250</v>
      </c>
    </row>
    <row r="352" spans="1:13" x14ac:dyDescent="0.3">
      <c r="A352" t="s">
        <v>416</v>
      </c>
      <c r="B352" s="4">
        <v>37909</v>
      </c>
      <c r="C352">
        <v>2003</v>
      </c>
      <c r="D352">
        <v>10</v>
      </c>
      <c r="E352" t="s">
        <v>16</v>
      </c>
      <c r="F352" t="s">
        <v>58</v>
      </c>
      <c r="G352" t="s">
        <v>18</v>
      </c>
      <c r="H352" t="s">
        <v>59</v>
      </c>
      <c r="I352" t="s">
        <v>417</v>
      </c>
      <c r="J352">
        <v>70</v>
      </c>
      <c r="K352" t="b">
        <f>FALSE()</f>
        <v>0</v>
      </c>
      <c r="L352" t="s">
        <v>61</v>
      </c>
      <c r="M352" t="s">
        <v>250</v>
      </c>
    </row>
    <row r="353" spans="1:13" x14ac:dyDescent="0.3">
      <c r="A353" t="s">
        <v>418</v>
      </c>
      <c r="B353" s="4">
        <v>38001</v>
      </c>
      <c r="C353">
        <v>2004</v>
      </c>
      <c r="D353">
        <v>1</v>
      </c>
      <c r="E353" t="s">
        <v>16</v>
      </c>
      <c r="F353" t="s">
        <v>118</v>
      </c>
      <c r="G353" t="s">
        <v>119</v>
      </c>
      <c r="H353" t="s">
        <v>120</v>
      </c>
      <c r="I353" t="s">
        <v>374</v>
      </c>
      <c r="J353">
        <v>178</v>
      </c>
      <c r="K353" t="b">
        <f>FALSE()</f>
        <v>0</v>
      </c>
      <c r="L353" t="s">
        <v>122</v>
      </c>
      <c r="M353" t="s">
        <v>250</v>
      </c>
    </row>
    <row r="354" spans="1:13" x14ac:dyDescent="0.3">
      <c r="A354" t="s">
        <v>419</v>
      </c>
      <c r="B354" s="4">
        <v>38027</v>
      </c>
      <c r="C354">
        <v>2004</v>
      </c>
      <c r="D354">
        <v>2</v>
      </c>
      <c r="E354" t="s">
        <v>16</v>
      </c>
      <c r="F354" t="s">
        <v>235</v>
      </c>
      <c r="G354" t="s">
        <v>18</v>
      </c>
      <c r="H354" t="s">
        <v>19</v>
      </c>
      <c r="I354" t="s">
        <v>45</v>
      </c>
      <c r="J354">
        <v>50</v>
      </c>
      <c r="K354" t="b">
        <f>FALSE()</f>
        <v>0</v>
      </c>
      <c r="L354" t="s">
        <v>21</v>
      </c>
      <c r="M354" t="s">
        <v>250</v>
      </c>
    </row>
    <row r="355" spans="1:13" x14ac:dyDescent="0.3">
      <c r="A355" t="s">
        <v>420</v>
      </c>
      <c r="B355" s="4">
        <v>38029</v>
      </c>
      <c r="C355">
        <v>2004</v>
      </c>
      <c r="D355">
        <v>2</v>
      </c>
      <c r="E355" t="s">
        <v>16</v>
      </c>
      <c r="F355" t="s">
        <v>58</v>
      </c>
      <c r="G355" t="s">
        <v>18</v>
      </c>
      <c r="H355" t="s">
        <v>59</v>
      </c>
      <c r="I355" t="s">
        <v>214</v>
      </c>
      <c r="J355">
        <v>70</v>
      </c>
      <c r="K355" t="b">
        <f>FALSE()</f>
        <v>0</v>
      </c>
      <c r="L355" t="s">
        <v>343</v>
      </c>
      <c r="M355" t="s">
        <v>250</v>
      </c>
    </row>
    <row r="356" spans="1:13" x14ac:dyDescent="0.3">
      <c r="A356" t="s">
        <v>421</v>
      </c>
      <c r="B356" s="4">
        <v>38032</v>
      </c>
      <c r="C356">
        <v>2004</v>
      </c>
      <c r="D356">
        <v>2</v>
      </c>
      <c r="E356" t="s">
        <v>16</v>
      </c>
      <c r="F356" t="s">
        <v>235</v>
      </c>
      <c r="G356" t="s">
        <v>18</v>
      </c>
      <c r="H356" t="s">
        <v>19</v>
      </c>
      <c r="I356" t="s">
        <v>45</v>
      </c>
      <c r="J356">
        <v>50</v>
      </c>
      <c r="K356" t="b">
        <f>FALSE()</f>
        <v>0</v>
      </c>
      <c r="L356" t="s">
        <v>21</v>
      </c>
      <c r="M356" t="s">
        <v>250</v>
      </c>
    </row>
    <row r="357" spans="1:13" x14ac:dyDescent="0.3">
      <c r="A357" t="s">
        <v>422</v>
      </c>
      <c r="B357" s="4">
        <v>38037</v>
      </c>
      <c r="C357">
        <v>2004</v>
      </c>
      <c r="D357">
        <v>2</v>
      </c>
      <c r="E357" t="s">
        <v>16</v>
      </c>
      <c r="F357" t="s">
        <v>130</v>
      </c>
      <c r="G357" t="s">
        <v>18</v>
      </c>
      <c r="H357" t="s">
        <v>131</v>
      </c>
      <c r="I357" t="s">
        <v>248</v>
      </c>
      <c r="J357">
        <v>28</v>
      </c>
      <c r="K357" t="b">
        <f>FALSE()</f>
        <v>0</v>
      </c>
      <c r="L357" t="s">
        <v>249</v>
      </c>
      <c r="M357" t="s">
        <v>250</v>
      </c>
    </row>
    <row r="358" spans="1:13" x14ac:dyDescent="0.3">
      <c r="A358" t="s">
        <v>423</v>
      </c>
      <c r="B358" s="4">
        <v>38061</v>
      </c>
      <c r="C358">
        <v>2004</v>
      </c>
      <c r="D358">
        <v>3</v>
      </c>
      <c r="E358" t="s">
        <v>16</v>
      </c>
      <c r="F358" t="s">
        <v>118</v>
      </c>
      <c r="G358" t="s">
        <v>119</v>
      </c>
      <c r="H358" t="s">
        <v>120</v>
      </c>
      <c r="I358" t="s">
        <v>374</v>
      </c>
      <c r="J358">
        <v>178</v>
      </c>
      <c r="K358" t="b">
        <f>FALSE()</f>
        <v>0</v>
      </c>
      <c r="L358" t="s">
        <v>122</v>
      </c>
      <c r="M358" t="s">
        <v>250</v>
      </c>
    </row>
    <row r="359" spans="1:13" x14ac:dyDescent="0.3">
      <c r="A359" t="s">
        <v>424</v>
      </c>
      <c r="B359" s="4">
        <v>38061</v>
      </c>
      <c r="C359">
        <v>2004</v>
      </c>
      <c r="D359">
        <v>3</v>
      </c>
      <c r="E359" t="s">
        <v>16</v>
      </c>
      <c r="F359" t="s">
        <v>41</v>
      </c>
      <c r="G359" t="s">
        <v>18</v>
      </c>
      <c r="H359" t="s">
        <v>27</v>
      </c>
      <c r="I359" t="s">
        <v>104</v>
      </c>
      <c r="J359">
        <v>50</v>
      </c>
      <c r="K359" t="b">
        <f>FALSE()</f>
        <v>0</v>
      </c>
      <c r="L359" t="s">
        <v>29</v>
      </c>
      <c r="M359" t="s">
        <v>22</v>
      </c>
    </row>
    <row r="360" spans="1:13" x14ac:dyDescent="0.3">
      <c r="A360" t="s">
        <v>425</v>
      </c>
      <c r="B360" s="4">
        <v>38119</v>
      </c>
      <c r="C360">
        <v>2004</v>
      </c>
      <c r="D360">
        <v>5</v>
      </c>
      <c r="E360" t="s">
        <v>16</v>
      </c>
      <c r="F360" t="s">
        <v>58</v>
      </c>
      <c r="G360" t="s">
        <v>18</v>
      </c>
      <c r="H360" t="s">
        <v>59</v>
      </c>
      <c r="I360" t="s">
        <v>214</v>
      </c>
      <c r="J360">
        <v>70</v>
      </c>
      <c r="K360" t="b">
        <f>FALSE()</f>
        <v>0</v>
      </c>
      <c r="L360" t="s">
        <v>343</v>
      </c>
      <c r="M360" t="s">
        <v>250</v>
      </c>
    </row>
    <row r="361" spans="1:13" x14ac:dyDescent="0.3">
      <c r="A361" t="s">
        <v>426</v>
      </c>
      <c r="B361" s="4">
        <v>38122</v>
      </c>
      <c r="C361">
        <v>2004</v>
      </c>
      <c r="D361">
        <v>5</v>
      </c>
      <c r="E361" t="s">
        <v>16</v>
      </c>
      <c r="F361" t="s">
        <v>235</v>
      </c>
      <c r="G361" t="s">
        <v>18</v>
      </c>
      <c r="H361" t="s">
        <v>19</v>
      </c>
      <c r="I361" t="s">
        <v>45</v>
      </c>
      <c r="J361">
        <v>50</v>
      </c>
      <c r="K361" t="b">
        <f>FALSE()</f>
        <v>0</v>
      </c>
      <c r="L361" t="s">
        <v>21</v>
      </c>
      <c r="M361" t="s">
        <v>250</v>
      </c>
    </row>
    <row r="362" spans="1:13" x14ac:dyDescent="0.3">
      <c r="A362" t="s">
        <v>427</v>
      </c>
      <c r="B362" s="4">
        <v>38122</v>
      </c>
      <c r="C362">
        <v>2004</v>
      </c>
      <c r="D362">
        <v>5</v>
      </c>
      <c r="E362" t="s">
        <v>16</v>
      </c>
      <c r="F362" t="s">
        <v>118</v>
      </c>
      <c r="G362" t="s">
        <v>119</v>
      </c>
      <c r="H362" t="s">
        <v>120</v>
      </c>
      <c r="I362" t="s">
        <v>374</v>
      </c>
      <c r="J362">
        <v>178</v>
      </c>
      <c r="K362" t="b">
        <f>FALSE()</f>
        <v>0</v>
      </c>
      <c r="L362" t="s">
        <v>122</v>
      </c>
      <c r="M362" t="s">
        <v>250</v>
      </c>
    </row>
    <row r="363" spans="1:13" x14ac:dyDescent="0.3">
      <c r="A363" t="s">
        <v>428</v>
      </c>
      <c r="B363" s="4">
        <v>38148</v>
      </c>
      <c r="C363">
        <v>2004</v>
      </c>
      <c r="D363">
        <v>6</v>
      </c>
      <c r="E363" t="s">
        <v>16</v>
      </c>
      <c r="F363" t="s">
        <v>235</v>
      </c>
      <c r="G363" t="s">
        <v>18</v>
      </c>
      <c r="H363" t="s">
        <v>19</v>
      </c>
      <c r="I363" t="s">
        <v>45</v>
      </c>
      <c r="J363">
        <v>50</v>
      </c>
      <c r="K363" t="b">
        <f>FALSE()</f>
        <v>0</v>
      </c>
      <c r="L363" t="s">
        <v>21</v>
      </c>
      <c r="M363" t="s">
        <v>250</v>
      </c>
    </row>
    <row r="364" spans="1:13" x14ac:dyDescent="0.3">
      <c r="A364" t="s">
        <v>429</v>
      </c>
      <c r="B364" s="4">
        <v>38183</v>
      </c>
      <c r="C364">
        <v>2004</v>
      </c>
      <c r="D364">
        <v>7</v>
      </c>
      <c r="E364" t="s">
        <v>16</v>
      </c>
      <c r="F364" t="s">
        <v>118</v>
      </c>
      <c r="G364" t="s">
        <v>119</v>
      </c>
      <c r="H364" t="s">
        <v>120</v>
      </c>
      <c r="I364" t="s">
        <v>374</v>
      </c>
      <c r="J364">
        <v>178</v>
      </c>
      <c r="K364" t="b">
        <f>FALSE()</f>
        <v>0</v>
      </c>
      <c r="L364" t="s">
        <v>122</v>
      </c>
      <c r="M364" t="s">
        <v>250</v>
      </c>
    </row>
    <row r="365" spans="1:13" x14ac:dyDescent="0.3">
      <c r="A365" t="s">
        <v>430</v>
      </c>
      <c r="B365" s="4">
        <v>38211</v>
      </c>
      <c r="C365">
        <v>2004</v>
      </c>
      <c r="D365">
        <v>8</v>
      </c>
      <c r="E365" t="s">
        <v>16</v>
      </c>
      <c r="F365" t="s">
        <v>58</v>
      </c>
      <c r="G365" t="s">
        <v>18</v>
      </c>
      <c r="H365" t="s">
        <v>59</v>
      </c>
      <c r="I365" t="s">
        <v>214</v>
      </c>
      <c r="J365">
        <v>70</v>
      </c>
      <c r="K365" t="b">
        <f>FALSE()</f>
        <v>0</v>
      </c>
      <c r="L365" t="s">
        <v>343</v>
      </c>
      <c r="M365" t="s">
        <v>250</v>
      </c>
    </row>
    <row r="366" spans="1:13" x14ac:dyDescent="0.3">
      <c r="A366" t="s">
        <v>431</v>
      </c>
      <c r="B366" s="4">
        <v>38214</v>
      </c>
      <c r="C366">
        <v>2004</v>
      </c>
      <c r="D366">
        <v>8</v>
      </c>
      <c r="E366" t="s">
        <v>16</v>
      </c>
      <c r="F366" t="s">
        <v>235</v>
      </c>
      <c r="G366" t="s">
        <v>18</v>
      </c>
      <c r="H366" t="s">
        <v>19</v>
      </c>
      <c r="I366" t="s">
        <v>45</v>
      </c>
      <c r="J366">
        <v>50</v>
      </c>
      <c r="K366" t="b">
        <f>FALSE()</f>
        <v>0</v>
      </c>
      <c r="L366" t="s">
        <v>21</v>
      </c>
      <c r="M366" t="s">
        <v>250</v>
      </c>
    </row>
    <row r="367" spans="1:13" x14ac:dyDescent="0.3">
      <c r="A367" t="s">
        <v>432</v>
      </c>
      <c r="B367" s="4">
        <v>38219</v>
      </c>
      <c r="C367">
        <v>2004</v>
      </c>
      <c r="D367">
        <v>8</v>
      </c>
      <c r="E367" t="s">
        <v>16</v>
      </c>
      <c r="F367" t="s">
        <v>130</v>
      </c>
      <c r="G367" t="s">
        <v>18</v>
      </c>
      <c r="H367" t="s">
        <v>131</v>
      </c>
      <c r="I367" t="s">
        <v>248</v>
      </c>
      <c r="J367">
        <v>28</v>
      </c>
      <c r="K367" t="b">
        <f>FALSE()</f>
        <v>0</v>
      </c>
      <c r="L367" t="s">
        <v>249</v>
      </c>
      <c r="M367" t="s">
        <v>250</v>
      </c>
    </row>
    <row r="368" spans="1:13" x14ac:dyDescent="0.3">
      <c r="A368" t="s">
        <v>433</v>
      </c>
      <c r="B368" s="4">
        <v>38270</v>
      </c>
      <c r="C368">
        <v>2004</v>
      </c>
      <c r="D368">
        <v>10</v>
      </c>
      <c r="E368" t="s">
        <v>16</v>
      </c>
      <c r="F368" t="s">
        <v>235</v>
      </c>
      <c r="G368" t="s">
        <v>18</v>
      </c>
      <c r="H368" t="s">
        <v>19</v>
      </c>
      <c r="I368" t="s">
        <v>45</v>
      </c>
      <c r="J368">
        <v>50</v>
      </c>
      <c r="K368" t="b">
        <f>FALSE()</f>
        <v>0</v>
      </c>
      <c r="L368" t="s">
        <v>21</v>
      </c>
      <c r="M368" t="s">
        <v>250</v>
      </c>
    </row>
    <row r="369" spans="1:13" x14ac:dyDescent="0.3">
      <c r="A369" t="s">
        <v>434</v>
      </c>
      <c r="B369" s="4">
        <v>38367</v>
      </c>
      <c r="C369">
        <v>2005</v>
      </c>
      <c r="D369">
        <v>1</v>
      </c>
      <c r="E369" t="s">
        <v>16</v>
      </c>
      <c r="F369" t="s">
        <v>118</v>
      </c>
      <c r="G369" t="s">
        <v>119</v>
      </c>
      <c r="H369" t="s">
        <v>120</v>
      </c>
      <c r="I369" t="s">
        <v>374</v>
      </c>
      <c r="J369">
        <v>178</v>
      </c>
      <c r="K369" t="b">
        <f>FALSE()</f>
        <v>0</v>
      </c>
      <c r="L369" t="s">
        <v>122</v>
      </c>
      <c r="M369" t="s">
        <v>250</v>
      </c>
    </row>
    <row r="370" spans="1:13" x14ac:dyDescent="0.3">
      <c r="A370" t="s">
        <v>435</v>
      </c>
      <c r="B370" s="4">
        <v>38393</v>
      </c>
      <c r="C370">
        <v>2005</v>
      </c>
      <c r="D370">
        <v>2</v>
      </c>
      <c r="E370" t="s">
        <v>16</v>
      </c>
      <c r="F370" t="s">
        <v>235</v>
      </c>
      <c r="G370" t="s">
        <v>18</v>
      </c>
      <c r="H370" t="s">
        <v>19</v>
      </c>
      <c r="I370" t="s">
        <v>45</v>
      </c>
      <c r="J370">
        <v>50</v>
      </c>
      <c r="K370" t="b">
        <f>FALSE()</f>
        <v>0</v>
      </c>
      <c r="L370" t="s">
        <v>21</v>
      </c>
      <c r="M370" t="s">
        <v>250</v>
      </c>
    </row>
    <row r="371" spans="1:13" x14ac:dyDescent="0.3">
      <c r="A371" t="s">
        <v>436</v>
      </c>
      <c r="B371" s="4">
        <v>38395</v>
      </c>
      <c r="C371">
        <v>2005</v>
      </c>
      <c r="D371">
        <v>2</v>
      </c>
      <c r="E371" t="s">
        <v>16</v>
      </c>
      <c r="F371" t="s">
        <v>58</v>
      </c>
      <c r="G371" t="s">
        <v>18</v>
      </c>
      <c r="H371" t="s">
        <v>59</v>
      </c>
      <c r="I371" t="s">
        <v>214</v>
      </c>
      <c r="J371">
        <v>70</v>
      </c>
      <c r="K371" t="b">
        <f>FALSE()</f>
        <v>0</v>
      </c>
      <c r="L371" t="s">
        <v>343</v>
      </c>
      <c r="M371" t="s">
        <v>250</v>
      </c>
    </row>
    <row r="372" spans="1:13" x14ac:dyDescent="0.3">
      <c r="A372" t="s">
        <v>437</v>
      </c>
      <c r="B372" s="4">
        <v>38398</v>
      </c>
      <c r="C372">
        <v>2005</v>
      </c>
      <c r="D372">
        <v>2</v>
      </c>
      <c r="E372" t="s">
        <v>16</v>
      </c>
      <c r="F372" t="s">
        <v>235</v>
      </c>
      <c r="G372" t="s">
        <v>18</v>
      </c>
      <c r="H372" t="s">
        <v>19</v>
      </c>
      <c r="I372" t="s">
        <v>45</v>
      </c>
      <c r="J372">
        <v>50</v>
      </c>
      <c r="K372" t="b">
        <f>FALSE()</f>
        <v>0</v>
      </c>
      <c r="L372" t="s">
        <v>21</v>
      </c>
      <c r="M372" t="s">
        <v>250</v>
      </c>
    </row>
    <row r="373" spans="1:13" x14ac:dyDescent="0.3">
      <c r="A373" t="s">
        <v>438</v>
      </c>
      <c r="B373" s="4">
        <v>38403</v>
      </c>
      <c r="C373">
        <v>2005</v>
      </c>
      <c r="D373">
        <v>2</v>
      </c>
      <c r="E373" t="s">
        <v>16</v>
      </c>
      <c r="F373" t="s">
        <v>130</v>
      </c>
      <c r="G373" t="s">
        <v>18</v>
      </c>
      <c r="H373" t="s">
        <v>131</v>
      </c>
      <c r="I373" t="s">
        <v>248</v>
      </c>
      <c r="J373">
        <v>28</v>
      </c>
      <c r="K373" t="b">
        <f>FALSE()</f>
        <v>0</v>
      </c>
      <c r="L373" t="s">
        <v>249</v>
      </c>
      <c r="M373" t="s">
        <v>250</v>
      </c>
    </row>
    <row r="374" spans="1:13" x14ac:dyDescent="0.3">
      <c r="A374" t="s">
        <v>439</v>
      </c>
      <c r="B374" s="4">
        <v>38426</v>
      </c>
      <c r="C374">
        <v>2005</v>
      </c>
      <c r="D374">
        <v>3</v>
      </c>
      <c r="E374" t="s">
        <v>16</v>
      </c>
      <c r="F374" t="s">
        <v>41</v>
      </c>
      <c r="G374" t="s">
        <v>18</v>
      </c>
      <c r="H374" t="s">
        <v>27</v>
      </c>
      <c r="I374" t="s">
        <v>104</v>
      </c>
      <c r="J374">
        <v>50</v>
      </c>
      <c r="K374" t="b">
        <f>FALSE()</f>
        <v>0</v>
      </c>
      <c r="L374" t="s">
        <v>29</v>
      </c>
      <c r="M374" t="s">
        <v>22</v>
      </c>
    </row>
    <row r="375" spans="1:13" x14ac:dyDescent="0.3">
      <c r="A375" t="s">
        <v>440</v>
      </c>
      <c r="B375" s="4">
        <v>38426</v>
      </c>
      <c r="C375">
        <v>2005</v>
      </c>
      <c r="D375">
        <v>3</v>
      </c>
      <c r="E375" t="s">
        <v>16</v>
      </c>
      <c r="F375" t="s">
        <v>118</v>
      </c>
      <c r="G375" t="s">
        <v>119</v>
      </c>
      <c r="H375" t="s">
        <v>120</v>
      </c>
      <c r="I375" t="s">
        <v>374</v>
      </c>
      <c r="J375">
        <v>178</v>
      </c>
      <c r="K375" t="b">
        <f>FALSE()</f>
        <v>0</v>
      </c>
      <c r="L375" t="s">
        <v>122</v>
      </c>
      <c r="M375" t="s">
        <v>250</v>
      </c>
    </row>
    <row r="376" spans="1:13" x14ac:dyDescent="0.3">
      <c r="A376" t="s">
        <v>441</v>
      </c>
      <c r="B376" s="4">
        <v>38484</v>
      </c>
      <c r="C376">
        <v>2005</v>
      </c>
      <c r="D376">
        <v>5</v>
      </c>
      <c r="E376" t="s">
        <v>16</v>
      </c>
      <c r="F376" t="s">
        <v>58</v>
      </c>
      <c r="G376" t="s">
        <v>18</v>
      </c>
      <c r="H376" t="s">
        <v>59</v>
      </c>
      <c r="I376" t="s">
        <v>214</v>
      </c>
      <c r="J376">
        <v>70</v>
      </c>
      <c r="K376" t="b">
        <f>FALSE()</f>
        <v>0</v>
      </c>
      <c r="L376" t="s">
        <v>343</v>
      </c>
      <c r="M376" t="s">
        <v>250</v>
      </c>
    </row>
    <row r="377" spans="1:13" x14ac:dyDescent="0.3">
      <c r="A377" t="s">
        <v>442</v>
      </c>
      <c r="B377" s="4">
        <v>38487</v>
      </c>
      <c r="C377">
        <v>2005</v>
      </c>
      <c r="D377">
        <v>5</v>
      </c>
      <c r="E377" t="s">
        <v>16</v>
      </c>
      <c r="F377" t="s">
        <v>235</v>
      </c>
      <c r="G377" t="s">
        <v>18</v>
      </c>
      <c r="H377" t="s">
        <v>19</v>
      </c>
      <c r="I377" t="s">
        <v>45</v>
      </c>
      <c r="J377">
        <v>50</v>
      </c>
      <c r="K377" t="b">
        <f>FALSE()</f>
        <v>0</v>
      </c>
      <c r="L377" t="s">
        <v>21</v>
      </c>
      <c r="M377" t="s">
        <v>250</v>
      </c>
    </row>
    <row r="378" spans="1:13" x14ac:dyDescent="0.3">
      <c r="A378" t="s">
        <v>443</v>
      </c>
      <c r="B378" s="4">
        <v>38487</v>
      </c>
      <c r="C378">
        <v>2005</v>
      </c>
      <c r="D378">
        <v>5</v>
      </c>
      <c r="E378" t="s">
        <v>16</v>
      </c>
      <c r="F378" t="s">
        <v>118</v>
      </c>
      <c r="G378" t="s">
        <v>119</v>
      </c>
      <c r="H378" t="s">
        <v>120</v>
      </c>
      <c r="I378" t="s">
        <v>374</v>
      </c>
      <c r="J378">
        <v>178</v>
      </c>
      <c r="K378" t="b">
        <f>FALSE()</f>
        <v>0</v>
      </c>
      <c r="L378" t="s">
        <v>122</v>
      </c>
      <c r="M378" t="s">
        <v>250</v>
      </c>
    </row>
    <row r="379" spans="1:13" x14ac:dyDescent="0.3">
      <c r="A379" t="s">
        <v>444</v>
      </c>
      <c r="B379" s="4">
        <v>38513</v>
      </c>
      <c r="C379">
        <v>2005</v>
      </c>
      <c r="D379">
        <v>6</v>
      </c>
      <c r="E379" t="s">
        <v>16</v>
      </c>
      <c r="F379" t="s">
        <v>235</v>
      </c>
      <c r="G379" t="s">
        <v>18</v>
      </c>
      <c r="H379" t="s">
        <v>19</v>
      </c>
      <c r="I379" t="s">
        <v>45</v>
      </c>
      <c r="J379">
        <v>50</v>
      </c>
      <c r="K379" t="b">
        <f>FALSE()</f>
        <v>0</v>
      </c>
      <c r="L379" t="s">
        <v>21</v>
      </c>
      <c r="M379" t="s">
        <v>250</v>
      </c>
    </row>
    <row r="380" spans="1:13" x14ac:dyDescent="0.3">
      <c r="A380" t="s">
        <v>445</v>
      </c>
      <c r="B380" s="4">
        <v>38548</v>
      </c>
      <c r="C380">
        <v>2005</v>
      </c>
      <c r="D380">
        <v>7</v>
      </c>
      <c r="E380" t="s">
        <v>16</v>
      </c>
      <c r="F380" t="s">
        <v>118</v>
      </c>
      <c r="G380" t="s">
        <v>119</v>
      </c>
      <c r="H380" t="s">
        <v>120</v>
      </c>
      <c r="I380" t="s">
        <v>374</v>
      </c>
      <c r="J380">
        <v>178</v>
      </c>
      <c r="K380" t="b">
        <f>FALSE()</f>
        <v>0</v>
      </c>
      <c r="L380" t="s">
        <v>122</v>
      </c>
      <c r="M380" t="s">
        <v>250</v>
      </c>
    </row>
    <row r="381" spans="1:13" x14ac:dyDescent="0.3">
      <c r="A381" t="s">
        <v>446</v>
      </c>
      <c r="B381" s="4">
        <v>38576</v>
      </c>
      <c r="C381">
        <v>2005</v>
      </c>
      <c r="D381">
        <v>8</v>
      </c>
      <c r="E381" t="s">
        <v>16</v>
      </c>
      <c r="F381" t="s">
        <v>58</v>
      </c>
      <c r="G381" t="s">
        <v>18</v>
      </c>
      <c r="H381" t="s">
        <v>59</v>
      </c>
      <c r="I381" t="s">
        <v>214</v>
      </c>
      <c r="J381">
        <v>70</v>
      </c>
      <c r="K381" t="b">
        <f>FALSE()</f>
        <v>0</v>
      </c>
      <c r="L381" t="s">
        <v>343</v>
      </c>
      <c r="M381" t="s">
        <v>250</v>
      </c>
    </row>
    <row r="382" spans="1:13" x14ac:dyDescent="0.3">
      <c r="A382" t="s">
        <v>447</v>
      </c>
      <c r="B382" s="4">
        <v>38579</v>
      </c>
      <c r="C382">
        <v>2005</v>
      </c>
      <c r="D382">
        <v>8</v>
      </c>
      <c r="E382" t="s">
        <v>16</v>
      </c>
      <c r="F382" t="s">
        <v>235</v>
      </c>
      <c r="G382" t="s">
        <v>18</v>
      </c>
      <c r="H382" t="s">
        <v>19</v>
      </c>
      <c r="I382" t="s">
        <v>45</v>
      </c>
      <c r="J382">
        <v>50</v>
      </c>
      <c r="K382" t="b">
        <f>FALSE()</f>
        <v>0</v>
      </c>
      <c r="L382" t="s">
        <v>21</v>
      </c>
      <c r="M382" t="s">
        <v>250</v>
      </c>
    </row>
    <row r="383" spans="1:13" x14ac:dyDescent="0.3">
      <c r="A383" t="s">
        <v>448</v>
      </c>
      <c r="B383" s="4">
        <v>38584</v>
      </c>
      <c r="C383">
        <v>2005</v>
      </c>
      <c r="D383">
        <v>8</v>
      </c>
      <c r="E383" t="s">
        <v>16</v>
      </c>
      <c r="F383" t="s">
        <v>130</v>
      </c>
      <c r="G383" t="s">
        <v>18</v>
      </c>
      <c r="H383" t="s">
        <v>131</v>
      </c>
      <c r="I383" t="s">
        <v>248</v>
      </c>
      <c r="J383">
        <v>28</v>
      </c>
      <c r="K383" t="b">
        <f>FALSE()</f>
        <v>0</v>
      </c>
      <c r="L383" t="s">
        <v>249</v>
      </c>
      <c r="M383" t="s">
        <v>250</v>
      </c>
    </row>
    <row r="384" spans="1:13" x14ac:dyDescent="0.3">
      <c r="A384" t="s">
        <v>449</v>
      </c>
      <c r="B384" s="4">
        <v>38635</v>
      </c>
      <c r="C384">
        <v>2005</v>
      </c>
      <c r="D384">
        <v>10</v>
      </c>
      <c r="E384" t="s">
        <v>16</v>
      </c>
      <c r="F384" t="s">
        <v>235</v>
      </c>
      <c r="G384" t="s">
        <v>18</v>
      </c>
      <c r="H384" t="s">
        <v>19</v>
      </c>
      <c r="I384" t="s">
        <v>45</v>
      </c>
      <c r="J384">
        <v>50</v>
      </c>
      <c r="K384" t="b">
        <f>FALSE()</f>
        <v>0</v>
      </c>
      <c r="L384" t="s">
        <v>21</v>
      </c>
      <c r="M384" t="s">
        <v>250</v>
      </c>
    </row>
    <row r="385" spans="1:13" x14ac:dyDescent="0.3">
      <c r="A385" t="s">
        <v>450</v>
      </c>
      <c r="B385" s="4">
        <v>38732</v>
      </c>
      <c r="C385">
        <v>2006</v>
      </c>
      <c r="D385">
        <v>1</v>
      </c>
      <c r="E385" t="s">
        <v>16</v>
      </c>
      <c r="F385" t="s">
        <v>118</v>
      </c>
      <c r="G385" t="s">
        <v>119</v>
      </c>
      <c r="H385" t="s">
        <v>120</v>
      </c>
      <c r="I385" t="s">
        <v>374</v>
      </c>
      <c r="J385">
        <v>178</v>
      </c>
      <c r="K385" t="b">
        <f>FALSE()</f>
        <v>0</v>
      </c>
      <c r="L385" t="s">
        <v>122</v>
      </c>
      <c r="M385" t="s">
        <v>250</v>
      </c>
    </row>
    <row r="386" spans="1:13" x14ac:dyDescent="0.3">
      <c r="A386" t="s">
        <v>451</v>
      </c>
      <c r="B386" s="4">
        <v>38758</v>
      </c>
      <c r="C386">
        <v>2006</v>
      </c>
      <c r="D386">
        <v>2</v>
      </c>
      <c r="E386" t="s">
        <v>16</v>
      </c>
      <c r="F386" t="s">
        <v>235</v>
      </c>
      <c r="G386" t="s">
        <v>18</v>
      </c>
      <c r="H386" t="s">
        <v>19</v>
      </c>
      <c r="I386" t="s">
        <v>45</v>
      </c>
      <c r="J386">
        <v>50</v>
      </c>
      <c r="K386" t="b">
        <f>FALSE()</f>
        <v>0</v>
      </c>
      <c r="L386" t="s">
        <v>21</v>
      </c>
      <c r="M386" t="s">
        <v>250</v>
      </c>
    </row>
    <row r="387" spans="1:13" x14ac:dyDescent="0.3">
      <c r="A387" t="s">
        <v>452</v>
      </c>
      <c r="B387" s="4">
        <v>38760</v>
      </c>
      <c r="C387">
        <v>2006</v>
      </c>
      <c r="D387">
        <v>2</v>
      </c>
      <c r="E387" t="s">
        <v>16</v>
      </c>
      <c r="F387" t="s">
        <v>58</v>
      </c>
      <c r="G387" t="s">
        <v>18</v>
      </c>
      <c r="H387" t="s">
        <v>59</v>
      </c>
      <c r="I387" t="s">
        <v>214</v>
      </c>
      <c r="J387">
        <v>70</v>
      </c>
      <c r="K387" t="b">
        <f>FALSE()</f>
        <v>0</v>
      </c>
      <c r="L387" t="s">
        <v>343</v>
      </c>
      <c r="M387" t="s">
        <v>250</v>
      </c>
    </row>
    <row r="388" spans="1:13" x14ac:dyDescent="0.3">
      <c r="A388" t="s">
        <v>453</v>
      </c>
      <c r="B388" s="4">
        <v>38763</v>
      </c>
      <c r="C388">
        <v>2006</v>
      </c>
      <c r="D388">
        <v>2</v>
      </c>
      <c r="E388" t="s">
        <v>16</v>
      </c>
      <c r="F388" t="s">
        <v>235</v>
      </c>
      <c r="G388" t="s">
        <v>18</v>
      </c>
      <c r="H388" t="s">
        <v>19</v>
      </c>
      <c r="I388" t="s">
        <v>45</v>
      </c>
      <c r="J388">
        <v>50</v>
      </c>
      <c r="K388" t="b">
        <f>FALSE()</f>
        <v>0</v>
      </c>
      <c r="L388" t="s">
        <v>21</v>
      </c>
      <c r="M388" t="s">
        <v>250</v>
      </c>
    </row>
    <row r="389" spans="1:13" x14ac:dyDescent="0.3">
      <c r="A389" t="s">
        <v>454</v>
      </c>
      <c r="B389" s="4">
        <v>38768</v>
      </c>
      <c r="C389">
        <v>2006</v>
      </c>
      <c r="D389">
        <v>2</v>
      </c>
      <c r="E389" t="s">
        <v>16</v>
      </c>
      <c r="F389" t="s">
        <v>130</v>
      </c>
      <c r="G389" t="s">
        <v>18</v>
      </c>
      <c r="H389" t="s">
        <v>131</v>
      </c>
      <c r="I389" t="s">
        <v>248</v>
      </c>
      <c r="J389">
        <v>28</v>
      </c>
      <c r="K389" t="b">
        <f>FALSE()</f>
        <v>0</v>
      </c>
      <c r="L389" t="s">
        <v>249</v>
      </c>
      <c r="M389" t="s">
        <v>250</v>
      </c>
    </row>
    <row r="390" spans="1:13" x14ac:dyDescent="0.3">
      <c r="A390" t="s">
        <v>455</v>
      </c>
      <c r="B390" s="4">
        <v>38791</v>
      </c>
      <c r="C390">
        <v>2006</v>
      </c>
      <c r="D390">
        <v>3</v>
      </c>
      <c r="E390" t="s">
        <v>16</v>
      </c>
      <c r="F390" t="s">
        <v>118</v>
      </c>
      <c r="G390" t="s">
        <v>119</v>
      </c>
      <c r="H390" t="s">
        <v>120</v>
      </c>
      <c r="I390" t="s">
        <v>374</v>
      </c>
      <c r="J390">
        <v>178</v>
      </c>
      <c r="K390" t="b">
        <f>FALSE()</f>
        <v>0</v>
      </c>
      <c r="L390" t="s">
        <v>122</v>
      </c>
      <c r="M390" t="s">
        <v>250</v>
      </c>
    </row>
    <row r="391" spans="1:13" x14ac:dyDescent="0.3">
      <c r="A391" t="s">
        <v>456</v>
      </c>
      <c r="B391" s="4">
        <v>38791</v>
      </c>
      <c r="C391">
        <v>2006</v>
      </c>
      <c r="D391">
        <v>3</v>
      </c>
      <c r="E391" t="s">
        <v>16</v>
      </c>
      <c r="F391" t="s">
        <v>41</v>
      </c>
      <c r="G391" t="s">
        <v>18</v>
      </c>
      <c r="H391" t="s">
        <v>27</v>
      </c>
      <c r="I391" t="s">
        <v>104</v>
      </c>
      <c r="J391">
        <v>50</v>
      </c>
      <c r="K391" t="b">
        <f>FALSE()</f>
        <v>0</v>
      </c>
      <c r="L391" t="s">
        <v>29</v>
      </c>
      <c r="M391" t="s">
        <v>22</v>
      </c>
    </row>
    <row r="392" spans="1:13" x14ac:dyDescent="0.3">
      <c r="A392" t="s">
        <v>457</v>
      </c>
      <c r="B392" s="4">
        <v>38800</v>
      </c>
      <c r="C392">
        <v>2006</v>
      </c>
      <c r="D392">
        <v>3</v>
      </c>
      <c r="E392" t="s">
        <v>25</v>
      </c>
      <c r="F392" t="s">
        <v>458</v>
      </c>
      <c r="G392" t="s">
        <v>119</v>
      </c>
      <c r="H392" t="s">
        <v>27</v>
      </c>
      <c r="I392" t="s">
        <v>459</v>
      </c>
      <c r="J392">
        <v>6.7</v>
      </c>
      <c r="K392" t="b">
        <f>FALSE()</f>
        <v>0</v>
      </c>
      <c r="L392" t="s">
        <v>460</v>
      </c>
      <c r="M392" t="s">
        <v>22</v>
      </c>
    </row>
    <row r="393" spans="1:13" x14ac:dyDescent="0.3">
      <c r="A393" t="s">
        <v>461</v>
      </c>
      <c r="B393" s="4">
        <v>38849</v>
      </c>
      <c r="C393">
        <v>2006</v>
      </c>
      <c r="D393">
        <v>5</v>
      </c>
      <c r="E393" t="s">
        <v>16</v>
      </c>
      <c r="F393" t="s">
        <v>58</v>
      </c>
      <c r="G393" t="s">
        <v>18</v>
      </c>
      <c r="H393" t="s">
        <v>59</v>
      </c>
      <c r="I393" t="s">
        <v>214</v>
      </c>
      <c r="J393">
        <v>70</v>
      </c>
      <c r="K393" t="b">
        <f>FALSE()</f>
        <v>0</v>
      </c>
      <c r="L393" t="s">
        <v>343</v>
      </c>
      <c r="M393" t="s">
        <v>250</v>
      </c>
    </row>
    <row r="394" spans="1:13" x14ac:dyDescent="0.3">
      <c r="A394" t="s">
        <v>462</v>
      </c>
      <c r="B394" s="4">
        <v>38852</v>
      </c>
      <c r="C394">
        <v>2006</v>
      </c>
      <c r="D394">
        <v>5</v>
      </c>
      <c r="E394" t="s">
        <v>16</v>
      </c>
      <c r="F394" t="s">
        <v>235</v>
      </c>
      <c r="G394" t="s">
        <v>18</v>
      </c>
      <c r="H394" t="s">
        <v>19</v>
      </c>
      <c r="I394" t="s">
        <v>45</v>
      </c>
      <c r="J394">
        <v>50</v>
      </c>
      <c r="K394" t="b">
        <f>FALSE()</f>
        <v>0</v>
      </c>
      <c r="L394" t="s">
        <v>21</v>
      </c>
      <c r="M394" t="s">
        <v>250</v>
      </c>
    </row>
    <row r="395" spans="1:13" x14ac:dyDescent="0.3">
      <c r="A395" t="s">
        <v>463</v>
      </c>
      <c r="B395" s="4">
        <v>38852</v>
      </c>
      <c r="C395">
        <v>2006</v>
      </c>
      <c r="D395">
        <v>5</v>
      </c>
      <c r="E395" t="s">
        <v>16</v>
      </c>
      <c r="F395" t="s">
        <v>118</v>
      </c>
      <c r="G395" t="s">
        <v>119</v>
      </c>
      <c r="H395" t="s">
        <v>120</v>
      </c>
      <c r="I395" t="s">
        <v>374</v>
      </c>
      <c r="J395">
        <v>178</v>
      </c>
      <c r="K395" t="b">
        <f>FALSE()</f>
        <v>0</v>
      </c>
      <c r="L395" t="s">
        <v>122</v>
      </c>
      <c r="M395" t="s">
        <v>250</v>
      </c>
    </row>
    <row r="396" spans="1:13" x14ac:dyDescent="0.3">
      <c r="A396" t="s">
        <v>464</v>
      </c>
      <c r="B396" s="4">
        <v>38878</v>
      </c>
      <c r="C396">
        <v>2006</v>
      </c>
      <c r="D396">
        <v>6</v>
      </c>
      <c r="E396" t="s">
        <v>16</v>
      </c>
      <c r="F396" t="s">
        <v>235</v>
      </c>
      <c r="G396" t="s">
        <v>18</v>
      </c>
      <c r="H396" t="s">
        <v>19</v>
      </c>
      <c r="I396" t="s">
        <v>45</v>
      </c>
      <c r="J396">
        <v>50</v>
      </c>
      <c r="K396" t="b">
        <f>FALSE()</f>
        <v>0</v>
      </c>
      <c r="L396" t="s">
        <v>21</v>
      </c>
      <c r="M396" t="s">
        <v>250</v>
      </c>
    </row>
    <row r="397" spans="1:13" x14ac:dyDescent="0.3">
      <c r="A397" t="s">
        <v>465</v>
      </c>
      <c r="B397" s="4">
        <v>38913</v>
      </c>
      <c r="C397">
        <v>2006</v>
      </c>
      <c r="D397">
        <v>7</v>
      </c>
      <c r="E397" t="s">
        <v>16</v>
      </c>
      <c r="F397" t="s">
        <v>118</v>
      </c>
      <c r="G397" t="s">
        <v>119</v>
      </c>
      <c r="H397" t="s">
        <v>120</v>
      </c>
      <c r="I397" t="s">
        <v>374</v>
      </c>
      <c r="J397">
        <v>178</v>
      </c>
      <c r="K397" t="b">
        <f>FALSE()</f>
        <v>0</v>
      </c>
      <c r="L397" t="s">
        <v>122</v>
      </c>
      <c r="M397" t="s">
        <v>250</v>
      </c>
    </row>
    <row r="398" spans="1:13" x14ac:dyDescent="0.3">
      <c r="A398" t="s">
        <v>466</v>
      </c>
      <c r="B398" s="4">
        <v>38941</v>
      </c>
      <c r="C398">
        <v>2006</v>
      </c>
      <c r="D398">
        <v>8</v>
      </c>
      <c r="E398" t="s">
        <v>16</v>
      </c>
      <c r="F398" t="s">
        <v>58</v>
      </c>
      <c r="G398" t="s">
        <v>18</v>
      </c>
      <c r="H398" t="s">
        <v>59</v>
      </c>
      <c r="I398" t="s">
        <v>214</v>
      </c>
      <c r="J398">
        <v>70</v>
      </c>
      <c r="K398" t="b">
        <f>FALSE()</f>
        <v>0</v>
      </c>
      <c r="L398" t="s">
        <v>343</v>
      </c>
      <c r="M398" t="s">
        <v>250</v>
      </c>
    </row>
    <row r="399" spans="1:13" x14ac:dyDescent="0.3">
      <c r="A399" t="s">
        <v>467</v>
      </c>
      <c r="B399" s="4">
        <v>38944</v>
      </c>
      <c r="C399">
        <v>2006</v>
      </c>
      <c r="D399">
        <v>8</v>
      </c>
      <c r="E399" t="s">
        <v>16</v>
      </c>
      <c r="F399" t="s">
        <v>235</v>
      </c>
      <c r="G399" t="s">
        <v>18</v>
      </c>
      <c r="H399" t="s">
        <v>19</v>
      </c>
      <c r="I399" t="s">
        <v>45</v>
      </c>
      <c r="J399">
        <v>50</v>
      </c>
      <c r="K399" t="b">
        <f>FALSE()</f>
        <v>0</v>
      </c>
      <c r="L399" t="s">
        <v>21</v>
      </c>
      <c r="M399" t="s">
        <v>250</v>
      </c>
    </row>
    <row r="400" spans="1:13" x14ac:dyDescent="0.3">
      <c r="A400" t="s">
        <v>468</v>
      </c>
      <c r="B400" s="4">
        <v>38949</v>
      </c>
      <c r="C400">
        <v>2006</v>
      </c>
      <c r="D400">
        <v>8</v>
      </c>
      <c r="E400" t="s">
        <v>16</v>
      </c>
      <c r="F400" t="s">
        <v>130</v>
      </c>
      <c r="G400" t="s">
        <v>18</v>
      </c>
      <c r="H400" t="s">
        <v>131</v>
      </c>
      <c r="I400" t="s">
        <v>248</v>
      </c>
      <c r="J400">
        <v>28</v>
      </c>
      <c r="K400" t="b">
        <f>FALSE()</f>
        <v>0</v>
      </c>
      <c r="L400" t="s">
        <v>249</v>
      </c>
      <c r="M400" t="s">
        <v>250</v>
      </c>
    </row>
    <row r="401" spans="1:13" x14ac:dyDescent="0.3">
      <c r="A401" t="s">
        <v>469</v>
      </c>
      <c r="B401" s="4">
        <v>39000</v>
      </c>
      <c r="C401">
        <v>2006</v>
      </c>
      <c r="D401">
        <v>10</v>
      </c>
      <c r="E401" t="s">
        <v>16</v>
      </c>
      <c r="F401" t="s">
        <v>235</v>
      </c>
      <c r="G401" t="s">
        <v>18</v>
      </c>
      <c r="H401" t="s">
        <v>19</v>
      </c>
      <c r="I401" t="s">
        <v>45</v>
      </c>
      <c r="J401">
        <v>50</v>
      </c>
      <c r="K401" t="b">
        <f>FALSE()</f>
        <v>0</v>
      </c>
      <c r="L401" t="s">
        <v>21</v>
      </c>
      <c r="M401" t="s">
        <v>250</v>
      </c>
    </row>
    <row r="402" spans="1:13" x14ac:dyDescent="0.3">
      <c r="A402" t="s">
        <v>470</v>
      </c>
      <c r="B402" s="4">
        <v>39097</v>
      </c>
      <c r="C402">
        <v>2007</v>
      </c>
      <c r="D402">
        <v>1</v>
      </c>
      <c r="E402" t="s">
        <v>16</v>
      </c>
      <c r="F402" t="s">
        <v>118</v>
      </c>
      <c r="G402" t="s">
        <v>119</v>
      </c>
      <c r="H402" t="s">
        <v>120</v>
      </c>
      <c r="I402" t="s">
        <v>374</v>
      </c>
      <c r="J402">
        <v>178</v>
      </c>
      <c r="K402" t="b">
        <f>FALSE()</f>
        <v>0</v>
      </c>
      <c r="L402" t="s">
        <v>122</v>
      </c>
      <c r="M402" t="s">
        <v>250</v>
      </c>
    </row>
    <row r="403" spans="1:13" x14ac:dyDescent="0.3">
      <c r="A403" t="s">
        <v>471</v>
      </c>
      <c r="B403" s="4">
        <v>39123</v>
      </c>
      <c r="C403">
        <v>2007</v>
      </c>
      <c r="D403">
        <v>2</v>
      </c>
      <c r="E403" t="s">
        <v>16</v>
      </c>
      <c r="F403" t="s">
        <v>235</v>
      </c>
      <c r="G403" t="s">
        <v>18</v>
      </c>
      <c r="H403" t="s">
        <v>19</v>
      </c>
      <c r="I403" t="s">
        <v>45</v>
      </c>
      <c r="J403">
        <v>50</v>
      </c>
      <c r="K403" t="b">
        <f>FALSE()</f>
        <v>0</v>
      </c>
      <c r="L403" t="s">
        <v>21</v>
      </c>
      <c r="M403" t="s">
        <v>250</v>
      </c>
    </row>
    <row r="404" spans="1:13" x14ac:dyDescent="0.3">
      <c r="A404" t="s">
        <v>472</v>
      </c>
      <c r="B404" s="4">
        <v>39125</v>
      </c>
      <c r="C404">
        <v>2007</v>
      </c>
      <c r="D404">
        <v>2</v>
      </c>
      <c r="E404" t="s">
        <v>16</v>
      </c>
      <c r="F404" t="s">
        <v>58</v>
      </c>
      <c r="G404" t="s">
        <v>18</v>
      </c>
      <c r="H404" t="s">
        <v>59</v>
      </c>
      <c r="I404" t="s">
        <v>214</v>
      </c>
      <c r="J404">
        <v>70</v>
      </c>
      <c r="K404" t="b">
        <f>FALSE()</f>
        <v>0</v>
      </c>
      <c r="L404" t="s">
        <v>343</v>
      </c>
      <c r="M404" t="s">
        <v>250</v>
      </c>
    </row>
    <row r="405" spans="1:13" x14ac:dyDescent="0.3">
      <c r="A405" t="s">
        <v>473</v>
      </c>
      <c r="B405" s="4">
        <v>39128</v>
      </c>
      <c r="C405">
        <v>2007</v>
      </c>
      <c r="D405">
        <v>2</v>
      </c>
      <c r="E405" t="s">
        <v>16</v>
      </c>
      <c r="F405" t="s">
        <v>235</v>
      </c>
      <c r="G405" t="s">
        <v>18</v>
      </c>
      <c r="H405" t="s">
        <v>19</v>
      </c>
      <c r="I405" t="s">
        <v>45</v>
      </c>
      <c r="J405">
        <v>50</v>
      </c>
      <c r="K405" t="b">
        <f>FALSE()</f>
        <v>0</v>
      </c>
      <c r="L405" t="s">
        <v>21</v>
      </c>
      <c r="M405" t="s">
        <v>250</v>
      </c>
    </row>
    <row r="406" spans="1:13" x14ac:dyDescent="0.3">
      <c r="A406" t="s">
        <v>474</v>
      </c>
      <c r="B406" s="4">
        <v>39133</v>
      </c>
      <c r="C406">
        <v>2007</v>
      </c>
      <c r="D406">
        <v>2</v>
      </c>
      <c r="E406" t="s">
        <v>16</v>
      </c>
      <c r="F406" t="s">
        <v>130</v>
      </c>
      <c r="G406" t="s">
        <v>18</v>
      </c>
      <c r="H406" t="s">
        <v>131</v>
      </c>
      <c r="I406" t="s">
        <v>248</v>
      </c>
      <c r="J406">
        <v>28</v>
      </c>
      <c r="K406" t="b">
        <f>FALSE()</f>
        <v>0</v>
      </c>
      <c r="L406" t="s">
        <v>249</v>
      </c>
      <c r="M406" t="s">
        <v>250</v>
      </c>
    </row>
    <row r="407" spans="1:13" x14ac:dyDescent="0.3">
      <c r="A407" t="s">
        <v>475</v>
      </c>
      <c r="B407" s="4">
        <v>39156</v>
      </c>
      <c r="C407">
        <v>2007</v>
      </c>
      <c r="D407">
        <v>3</v>
      </c>
      <c r="E407" t="s">
        <v>16</v>
      </c>
      <c r="F407" t="s">
        <v>41</v>
      </c>
      <c r="G407" t="s">
        <v>18</v>
      </c>
      <c r="H407" t="s">
        <v>27</v>
      </c>
      <c r="I407" t="s">
        <v>104</v>
      </c>
      <c r="J407">
        <v>50</v>
      </c>
      <c r="K407" t="b">
        <f>FALSE()</f>
        <v>0</v>
      </c>
      <c r="L407" t="s">
        <v>29</v>
      </c>
      <c r="M407" t="s">
        <v>22</v>
      </c>
    </row>
    <row r="408" spans="1:13" x14ac:dyDescent="0.3">
      <c r="A408" t="s">
        <v>476</v>
      </c>
      <c r="B408" s="4">
        <v>39156</v>
      </c>
      <c r="C408">
        <v>2007</v>
      </c>
      <c r="D408">
        <v>3</v>
      </c>
      <c r="E408" t="s">
        <v>16</v>
      </c>
      <c r="F408" t="s">
        <v>118</v>
      </c>
      <c r="G408" t="s">
        <v>119</v>
      </c>
      <c r="H408" t="s">
        <v>120</v>
      </c>
      <c r="I408" t="s">
        <v>374</v>
      </c>
      <c r="J408">
        <v>178</v>
      </c>
      <c r="K408" t="b">
        <f>FALSE()</f>
        <v>0</v>
      </c>
      <c r="L408" t="s">
        <v>122</v>
      </c>
      <c r="M408" t="s">
        <v>250</v>
      </c>
    </row>
    <row r="409" spans="1:13" x14ac:dyDescent="0.3">
      <c r="A409" t="s">
        <v>477</v>
      </c>
      <c r="B409" s="4">
        <v>39214</v>
      </c>
      <c r="C409">
        <v>2007</v>
      </c>
      <c r="D409">
        <v>5</v>
      </c>
      <c r="E409" t="s">
        <v>16</v>
      </c>
      <c r="F409" t="s">
        <v>58</v>
      </c>
      <c r="G409" t="s">
        <v>18</v>
      </c>
      <c r="H409" t="s">
        <v>59</v>
      </c>
      <c r="I409" t="s">
        <v>214</v>
      </c>
      <c r="J409">
        <v>70</v>
      </c>
      <c r="K409" t="b">
        <f>FALSE()</f>
        <v>0</v>
      </c>
      <c r="L409" t="s">
        <v>343</v>
      </c>
      <c r="M409" t="s">
        <v>250</v>
      </c>
    </row>
    <row r="410" spans="1:13" x14ac:dyDescent="0.3">
      <c r="A410" t="s">
        <v>478</v>
      </c>
      <c r="B410" s="4">
        <v>39217</v>
      </c>
      <c r="C410">
        <v>2007</v>
      </c>
      <c r="D410">
        <v>5</v>
      </c>
      <c r="E410" t="s">
        <v>16</v>
      </c>
      <c r="F410" t="s">
        <v>118</v>
      </c>
      <c r="G410" t="s">
        <v>119</v>
      </c>
      <c r="H410" t="s">
        <v>120</v>
      </c>
      <c r="I410" t="s">
        <v>374</v>
      </c>
      <c r="J410">
        <v>178</v>
      </c>
      <c r="K410" t="b">
        <f>FALSE()</f>
        <v>0</v>
      </c>
      <c r="L410" t="s">
        <v>122</v>
      </c>
      <c r="M410" t="s">
        <v>250</v>
      </c>
    </row>
    <row r="411" spans="1:13" x14ac:dyDescent="0.3">
      <c r="A411" t="s">
        <v>479</v>
      </c>
      <c r="B411" s="4">
        <v>39217</v>
      </c>
      <c r="C411">
        <v>2007</v>
      </c>
      <c r="D411">
        <v>5</v>
      </c>
      <c r="E411" t="s">
        <v>16</v>
      </c>
      <c r="F411" t="s">
        <v>235</v>
      </c>
      <c r="G411" t="s">
        <v>18</v>
      </c>
      <c r="H411" t="s">
        <v>19</v>
      </c>
      <c r="I411" t="s">
        <v>45</v>
      </c>
      <c r="J411">
        <v>50</v>
      </c>
      <c r="K411" t="b">
        <f>FALSE()</f>
        <v>0</v>
      </c>
      <c r="L411" t="s">
        <v>21</v>
      </c>
      <c r="M411" t="s">
        <v>250</v>
      </c>
    </row>
    <row r="412" spans="1:13" x14ac:dyDescent="0.3">
      <c r="A412" t="s">
        <v>480</v>
      </c>
      <c r="B412" s="4">
        <v>39243</v>
      </c>
      <c r="C412">
        <v>2007</v>
      </c>
      <c r="D412">
        <v>6</v>
      </c>
      <c r="E412" t="s">
        <v>16</v>
      </c>
      <c r="F412" t="s">
        <v>235</v>
      </c>
      <c r="G412" t="s">
        <v>18</v>
      </c>
      <c r="H412" t="s">
        <v>19</v>
      </c>
      <c r="I412" t="s">
        <v>45</v>
      </c>
      <c r="J412">
        <v>50</v>
      </c>
      <c r="K412" t="b">
        <f>FALSE()</f>
        <v>0</v>
      </c>
      <c r="L412" t="s">
        <v>21</v>
      </c>
      <c r="M412" t="s">
        <v>250</v>
      </c>
    </row>
    <row r="413" spans="1:13" x14ac:dyDescent="0.3">
      <c r="A413" t="s">
        <v>481</v>
      </c>
      <c r="B413" s="4">
        <v>39278</v>
      </c>
      <c r="C413">
        <v>2007</v>
      </c>
      <c r="D413">
        <v>7</v>
      </c>
      <c r="E413" t="s">
        <v>16</v>
      </c>
      <c r="F413" t="s">
        <v>118</v>
      </c>
      <c r="G413" t="s">
        <v>119</v>
      </c>
      <c r="H413" t="s">
        <v>120</v>
      </c>
      <c r="I413" t="s">
        <v>374</v>
      </c>
      <c r="J413">
        <v>178</v>
      </c>
      <c r="K413" t="b">
        <f>FALSE()</f>
        <v>0</v>
      </c>
      <c r="L413" t="s">
        <v>122</v>
      </c>
      <c r="M413" t="s">
        <v>250</v>
      </c>
    </row>
    <row r="414" spans="1:13" x14ac:dyDescent="0.3">
      <c r="A414" t="s">
        <v>482</v>
      </c>
      <c r="B414" s="4">
        <v>39298</v>
      </c>
      <c r="C414">
        <v>2007</v>
      </c>
      <c r="D414">
        <v>8</v>
      </c>
      <c r="E414" t="s">
        <v>16</v>
      </c>
      <c r="F414" t="s">
        <v>41</v>
      </c>
      <c r="G414" t="s">
        <v>18</v>
      </c>
      <c r="H414" t="s">
        <v>27</v>
      </c>
      <c r="I414" t="s">
        <v>104</v>
      </c>
      <c r="J414">
        <v>50</v>
      </c>
      <c r="K414" t="b">
        <f>FALSE()</f>
        <v>0</v>
      </c>
      <c r="L414" t="s">
        <v>29</v>
      </c>
      <c r="M414" t="s">
        <v>22</v>
      </c>
    </row>
    <row r="415" spans="1:13" x14ac:dyDescent="0.3">
      <c r="A415" t="s">
        <v>483</v>
      </c>
      <c r="B415" s="4">
        <v>39306</v>
      </c>
      <c r="C415">
        <v>2007</v>
      </c>
      <c r="D415">
        <v>8</v>
      </c>
      <c r="E415" t="s">
        <v>16</v>
      </c>
      <c r="F415" t="s">
        <v>58</v>
      </c>
      <c r="G415" t="s">
        <v>18</v>
      </c>
      <c r="H415" t="s">
        <v>59</v>
      </c>
      <c r="I415" t="s">
        <v>214</v>
      </c>
      <c r="J415">
        <v>70</v>
      </c>
      <c r="K415" t="b">
        <f>FALSE()</f>
        <v>0</v>
      </c>
      <c r="L415" t="s">
        <v>343</v>
      </c>
      <c r="M415" t="s">
        <v>250</v>
      </c>
    </row>
    <row r="416" spans="1:13" x14ac:dyDescent="0.3">
      <c r="A416" t="s">
        <v>484</v>
      </c>
      <c r="B416" s="4">
        <v>39309</v>
      </c>
      <c r="C416">
        <v>2007</v>
      </c>
      <c r="D416">
        <v>8</v>
      </c>
      <c r="E416" t="s">
        <v>16</v>
      </c>
      <c r="F416" t="s">
        <v>235</v>
      </c>
      <c r="G416" t="s">
        <v>18</v>
      </c>
      <c r="H416" t="s">
        <v>19</v>
      </c>
      <c r="I416" t="s">
        <v>45</v>
      </c>
      <c r="J416">
        <v>50</v>
      </c>
      <c r="K416" t="b">
        <f>FALSE()</f>
        <v>0</v>
      </c>
      <c r="L416" t="s">
        <v>21</v>
      </c>
      <c r="M416" t="s">
        <v>250</v>
      </c>
    </row>
    <row r="417" spans="1:13" x14ac:dyDescent="0.3">
      <c r="A417" t="s">
        <v>485</v>
      </c>
      <c r="B417" s="4">
        <v>39314</v>
      </c>
      <c r="C417">
        <v>2007</v>
      </c>
      <c r="D417">
        <v>8</v>
      </c>
      <c r="E417" t="s">
        <v>16</v>
      </c>
      <c r="F417" t="s">
        <v>130</v>
      </c>
      <c r="G417" t="s">
        <v>18</v>
      </c>
      <c r="H417" t="s">
        <v>131</v>
      </c>
      <c r="I417" t="s">
        <v>248</v>
      </c>
      <c r="J417">
        <v>28</v>
      </c>
      <c r="K417" t="b">
        <f>FALSE()</f>
        <v>0</v>
      </c>
      <c r="L417" t="s">
        <v>249</v>
      </c>
      <c r="M417" t="s">
        <v>250</v>
      </c>
    </row>
    <row r="418" spans="1:13" x14ac:dyDescent="0.3">
      <c r="A418" t="s">
        <v>486</v>
      </c>
      <c r="B418" s="4">
        <v>39365</v>
      </c>
      <c r="C418">
        <v>2007</v>
      </c>
      <c r="D418">
        <v>10</v>
      </c>
      <c r="E418" t="s">
        <v>16</v>
      </c>
      <c r="F418" t="s">
        <v>235</v>
      </c>
      <c r="G418" t="s">
        <v>18</v>
      </c>
      <c r="H418" t="s">
        <v>19</v>
      </c>
      <c r="I418" t="s">
        <v>45</v>
      </c>
      <c r="J418">
        <v>50</v>
      </c>
      <c r="K418" t="b">
        <f>FALSE()</f>
        <v>0</v>
      </c>
      <c r="L418" t="s">
        <v>21</v>
      </c>
      <c r="M418" t="s">
        <v>250</v>
      </c>
    </row>
    <row r="419" spans="1:13" x14ac:dyDescent="0.3">
      <c r="A419" t="s">
        <v>487</v>
      </c>
      <c r="B419" s="4">
        <v>39379</v>
      </c>
      <c r="C419">
        <v>2007</v>
      </c>
      <c r="D419">
        <v>10</v>
      </c>
      <c r="E419" t="s">
        <v>16</v>
      </c>
      <c r="F419" t="s">
        <v>58</v>
      </c>
      <c r="G419" t="s">
        <v>18</v>
      </c>
      <c r="H419" t="s">
        <v>59</v>
      </c>
      <c r="I419" t="s">
        <v>488</v>
      </c>
      <c r="J419">
        <v>70</v>
      </c>
      <c r="K419" t="b">
        <f>FALSE()</f>
        <v>0</v>
      </c>
      <c r="L419" t="s">
        <v>343</v>
      </c>
      <c r="M419" t="s">
        <v>250</v>
      </c>
    </row>
    <row r="420" spans="1:13" x14ac:dyDescent="0.3">
      <c r="A420" t="s">
        <v>489</v>
      </c>
      <c r="B420" s="4">
        <v>39462</v>
      </c>
      <c r="C420">
        <v>2008</v>
      </c>
      <c r="D420">
        <v>1</v>
      </c>
      <c r="E420" t="s">
        <v>16</v>
      </c>
      <c r="F420" t="s">
        <v>118</v>
      </c>
      <c r="G420" t="s">
        <v>119</v>
      </c>
      <c r="H420" t="s">
        <v>120</v>
      </c>
      <c r="I420" t="s">
        <v>374</v>
      </c>
      <c r="J420">
        <v>178</v>
      </c>
      <c r="K420" t="b">
        <f>FALSE()</f>
        <v>0</v>
      </c>
      <c r="L420" t="s">
        <v>122</v>
      </c>
      <c r="M420" t="s">
        <v>250</v>
      </c>
    </row>
    <row r="421" spans="1:13" x14ac:dyDescent="0.3">
      <c r="A421" t="s">
        <v>490</v>
      </c>
      <c r="B421" s="4">
        <v>39488</v>
      </c>
      <c r="C421">
        <v>2008</v>
      </c>
      <c r="D421">
        <v>2</v>
      </c>
      <c r="E421" t="s">
        <v>16</v>
      </c>
      <c r="F421" t="s">
        <v>235</v>
      </c>
      <c r="G421" t="s">
        <v>18</v>
      </c>
      <c r="H421" t="s">
        <v>19</v>
      </c>
      <c r="I421" t="s">
        <v>45</v>
      </c>
      <c r="J421">
        <v>50</v>
      </c>
      <c r="K421" t="b">
        <f>FALSE()</f>
        <v>0</v>
      </c>
      <c r="L421" t="s">
        <v>21</v>
      </c>
      <c r="M421" t="s">
        <v>250</v>
      </c>
    </row>
    <row r="422" spans="1:13" x14ac:dyDescent="0.3">
      <c r="A422" t="s">
        <v>491</v>
      </c>
      <c r="B422" s="4">
        <v>39490</v>
      </c>
      <c r="C422">
        <v>2008</v>
      </c>
      <c r="D422">
        <v>2</v>
      </c>
      <c r="E422" t="s">
        <v>16</v>
      </c>
      <c r="F422" t="s">
        <v>58</v>
      </c>
      <c r="G422" t="s">
        <v>18</v>
      </c>
      <c r="H422" t="s">
        <v>59</v>
      </c>
      <c r="I422" t="s">
        <v>214</v>
      </c>
      <c r="J422">
        <v>70</v>
      </c>
      <c r="K422" t="b">
        <f>FALSE()</f>
        <v>0</v>
      </c>
      <c r="L422" t="s">
        <v>343</v>
      </c>
      <c r="M422" t="s">
        <v>250</v>
      </c>
    </row>
    <row r="423" spans="1:13" x14ac:dyDescent="0.3">
      <c r="A423" t="s">
        <v>492</v>
      </c>
      <c r="B423" s="4">
        <v>39493</v>
      </c>
      <c r="C423">
        <v>2008</v>
      </c>
      <c r="D423">
        <v>2</v>
      </c>
      <c r="E423" t="s">
        <v>16</v>
      </c>
      <c r="F423" t="s">
        <v>235</v>
      </c>
      <c r="G423" t="s">
        <v>18</v>
      </c>
      <c r="H423" t="s">
        <v>19</v>
      </c>
      <c r="I423" t="s">
        <v>45</v>
      </c>
      <c r="J423">
        <v>50</v>
      </c>
      <c r="K423" t="b">
        <f>FALSE()</f>
        <v>0</v>
      </c>
      <c r="L423" t="s">
        <v>21</v>
      </c>
      <c r="M423" t="s">
        <v>250</v>
      </c>
    </row>
    <row r="424" spans="1:13" x14ac:dyDescent="0.3">
      <c r="A424" t="s">
        <v>493</v>
      </c>
      <c r="B424" s="4">
        <v>39498</v>
      </c>
      <c r="C424">
        <v>2008</v>
      </c>
      <c r="D424">
        <v>2</v>
      </c>
      <c r="E424" t="s">
        <v>16</v>
      </c>
      <c r="F424" t="s">
        <v>130</v>
      </c>
      <c r="G424" t="s">
        <v>18</v>
      </c>
      <c r="H424" t="s">
        <v>131</v>
      </c>
      <c r="I424" t="s">
        <v>248</v>
      </c>
      <c r="J424">
        <v>28</v>
      </c>
      <c r="K424" t="b">
        <f>FALSE()</f>
        <v>0</v>
      </c>
      <c r="L424" t="s">
        <v>249</v>
      </c>
      <c r="M424" t="s">
        <v>250</v>
      </c>
    </row>
    <row r="425" spans="1:13" x14ac:dyDescent="0.3">
      <c r="A425" t="s">
        <v>494</v>
      </c>
      <c r="B425" s="4">
        <v>39522</v>
      </c>
      <c r="C425">
        <v>2008</v>
      </c>
      <c r="D425">
        <v>3</v>
      </c>
      <c r="E425" t="s">
        <v>16</v>
      </c>
      <c r="F425" t="s">
        <v>41</v>
      </c>
      <c r="G425" t="s">
        <v>18</v>
      </c>
      <c r="H425" t="s">
        <v>27</v>
      </c>
      <c r="I425" t="s">
        <v>104</v>
      </c>
      <c r="J425">
        <v>50</v>
      </c>
      <c r="K425" t="b">
        <f>FALSE()</f>
        <v>0</v>
      </c>
      <c r="L425" t="s">
        <v>29</v>
      </c>
      <c r="M425" t="s">
        <v>22</v>
      </c>
    </row>
    <row r="426" spans="1:13" x14ac:dyDescent="0.3">
      <c r="A426" t="s">
        <v>495</v>
      </c>
      <c r="B426" s="4">
        <v>39522</v>
      </c>
      <c r="C426">
        <v>2008</v>
      </c>
      <c r="D426">
        <v>3</v>
      </c>
      <c r="E426" t="s">
        <v>16</v>
      </c>
      <c r="F426" t="s">
        <v>118</v>
      </c>
      <c r="G426" t="s">
        <v>119</v>
      </c>
      <c r="H426" t="s">
        <v>120</v>
      </c>
      <c r="I426" t="s">
        <v>374</v>
      </c>
      <c r="J426">
        <v>178</v>
      </c>
      <c r="K426" t="b">
        <f>FALSE()</f>
        <v>0</v>
      </c>
      <c r="L426" t="s">
        <v>122</v>
      </c>
      <c r="M426" t="s">
        <v>250</v>
      </c>
    </row>
    <row r="427" spans="1:13" x14ac:dyDescent="0.3">
      <c r="A427" t="s">
        <v>496</v>
      </c>
      <c r="B427" s="4">
        <v>39580</v>
      </c>
      <c r="C427">
        <v>2008</v>
      </c>
      <c r="D427">
        <v>5</v>
      </c>
      <c r="E427" t="s">
        <v>16</v>
      </c>
      <c r="F427" t="s">
        <v>58</v>
      </c>
      <c r="G427" t="s">
        <v>18</v>
      </c>
      <c r="H427" t="s">
        <v>59</v>
      </c>
      <c r="I427" t="s">
        <v>214</v>
      </c>
      <c r="J427">
        <v>70</v>
      </c>
      <c r="K427" t="b">
        <f>FALSE()</f>
        <v>0</v>
      </c>
      <c r="L427" t="s">
        <v>343</v>
      </c>
      <c r="M427" t="s">
        <v>250</v>
      </c>
    </row>
    <row r="428" spans="1:13" x14ac:dyDescent="0.3">
      <c r="A428" t="s">
        <v>497</v>
      </c>
      <c r="B428" s="4">
        <v>39583</v>
      </c>
      <c r="C428">
        <v>2008</v>
      </c>
      <c r="D428">
        <v>5</v>
      </c>
      <c r="E428" t="s">
        <v>16</v>
      </c>
      <c r="F428" t="s">
        <v>235</v>
      </c>
      <c r="G428" t="s">
        <v>18</v>
      </c>
      <c r="H428" t="s">
        <v>19</v>
      </c>
      <c r="I428" t="s">
        <v>45</v>
      </c>
      <c r="J428">
        <v>50</v>
      </c>
      <c r="K428" t="b">
        <f>FALSE()</f>
        <v>0</v>
      </c>
      <c r="L428" t="s">
        <v>21</v>
      </c>
      <c r="M428" t="s">
        <v>250</v>
      </c>
    </row>
    <row r="429" spans="1:13" x14ac:dyDescent="0.3">
      <c r="A429" t="s">
        <v>498</v>
      </c>
      <c r="B429" s="4">
        <v>39583</v>
      </c>
      <c r="C429">
        <v>2008</v>
      </c>
      <c r="D429">
        <v>5</v>
      </c>
      <c r="E429" t="s">
        <v>16</v>
      </c>
      <c r="F429" t="s">
        <v>118</v>
      </c>
      <c r="G429" t="s">
        <v>119</v>
      </c>
      <c r="H429" t="s">
        <v>120</v>
      </c>
      <c r="I429" t="s">
        <v>374</v>
      </c>
      <c r="J429">
        <v>178</v>
      </c>
      <c r="K429" t="b">
        <f>FALSE()</f>
        <v>0</v>
      </c>
      <c r="L429" t="s">
        <v>122</v>
      </c>
      <c r="M429" t="s">
        <v>250</v>
      </c>
    </row>
    <row r="430" spans="1:13" x14ac:dyDescent="0.3">
      <c r="A430" t="s">
        <v>499</v>
      </c>
      <c r="B430" s="4">
        <v>39609</v>
      </c>
      <c r="C430">
        <v>2008</v>
      </c>
      <c r="D430">
        <v>6</v>
      </c>
      <c r="E430" t="s">
        <v>16</v>
      </c>
      <c r="F430" t="s">
        <v>235</v>
      </c>
      <c r="G430" t="s">
        <v>18</v>
      </c>
      <c r="H430" t="s">
        <v>19</v>
      </c>
      <c r="I430" t="s">
        <v>45</v>
      </c>
      <c r="J430">
        <v>50</v>
      </c>
      <c r="K430" t="b">
        <f>FALSE()</f>
        <v>0</v>
      </c>
      <c r="L430" t="s">
        <v>21</v>
      </c>
      <c r="M430" t="s">
        <v>250</v>
      </c>
    </row>
    <row r="431" spans="1:13" x14ac:dyDescent="0.3">
      <c r="A431" t="s">
        <v>500</v>
      </c>
      <c r="B431" s="4">
        <v>39644</v>
      </c>
      <c r="C431">
        <v>2008</v>
      </c>
      <c r="D431">
        <v>7</v>
      </c>
      <c r="E431" t="s">
        <v>16</v>
      </c>
      <c r="F431" t="s">
        <v>118</v>
      </c>
      <c r="G431" t="s">
        <v>119</v>
      </c>
      <c r="H431" t="s">
        <v>120</v>
      </c>
      <c r="I431" t="s">
        <v>374</v>
      </c>
      <c r="J431">
        <v>178</v>
      </c>
      <c r="K431" t="b">
        <f>FALSE()</f>
        <v>0</v>
      </c>
      <c r="L431" t="s">
        <v>122</v>
      </c>
      <c r="M431" t="s">
        <v>250</v>
      </c>
    </row>
    <row r="432" spans="1:13" x14ac:dyDescent="0.3">
      <c r="A432" t="s">
        <v>501</v>
      </c>
      <c r="B432" s="4">
        <v>39672</v>
      </c>
      <c r="C432">
        <v>2008</v>
      </c>
      <c r="D432">
        <v>8</v>
      </c>
      <c r="E432" t="s">
        <v>16</v>
      </c>
      <c r="F432" t="s">
        <v>58</v>
      </c>
      <c r="G432" t="s">
        <v>18</v>
      </c>
      <c r="H432" t="s">
        <v>59</v>
      </c>
      <c r="I432" t="s">
        <v>214</v>
      </c>
      <c r="J432">
        <v>70</v>
      </c>
      <c r="K432" t="b">
        <f>FALSE()</f>
        <v>0</v>
      </c>
      <c r="L432" t="s">
        <v>343</v>
      </c>
      <c r="M432" t="s">
        <v>250</v>
      </c>
    </row>
    <row r="433" spans="1:13" x14ac:dyDescent="0.3">
      <c r="A433" t="s">
        <v>502</v>
      </c>
      <c r="B433" s="4">
        <v>39675</v>
      </c>
      <c r="C433">
        <v>2008</v>
      </c>
      <c r="D433">
        <v>8</v>
      </c>
      <c r="E433" t="s">
        <v>16</v>
      </c>
      <c r="F433" t="s">
        <v>235</v>
      </c>
      <c r="G433" t="s">
        <v>18</v>
      </c>
      <c r="H433" t="s">
        <v>19</v>
      </c>
      <c r="I433" t="s">
        <v>45</v>
      </c>
      <c r="J433">
        <v>50</v>
      </c>
      <c r="K433" t="b">
        <f>FALSE()</f>
        <v>0</v>
      </c>
      <c r="L433" t="s">
        <v>21</v>
      </c>
      <c r="M433" t="s">
        <v>250</v>
      </c>
    </row>
    <row r="434" spans="1:13" x14ac:dyDescent="0.3">
      <c r="A434" t="s">
        <v>503</v>
      </c>
      <c r="B434" s="4">
        <v>39680</v>
      </c>
      <c r="C434">
        <v>2008</v>
      </c>
      <c r="D434">
        <v>8</v>
      </c>
      <c r="E434" t="s">
        <v>16</v>
      </c>
      <c r="F434" t="s">
        <v>130</v>
      </c>
      <c r="G434" t="s">
        <v>18</v>
      </c>
      <c r="H434" t="s">
        <v>131</v>
      </c>
      <c r="I434" t="s">
        <v>248</v>
      </c>
      <c r="J434">
        <v>28</v>
      </c>
      <c r="K434" t="b">
        <f>FALSE()</f>
        <v>0</v>
      </c>
      <c r="L434" t="s">
        <v>249</v>
      </c>
      <c r="M434" t="s">
        <v>250</v>
      </c>
    </row>
    <row r="435" spans="1:13" x14ac:dyDescent="0.3">
      <c r="A435" t="s">
        <v>504</v>
      </c>
      <c r="B435" s="4">
        <v>39719</v>
      </c>
      <c r="C435">
        <v>2008</v>
      </c>
      <c r="D435">
        <v>9</v>
      </c>
      <c r="E435" t="s">
        <v>16</v>
      </c>
      <c r="F435" t="s">
        <v>458</v>
      </c>
      <c r="G435" t="s">
        <v>119</v>
      </c>
      <c r="H435" t="s">
        <v>27</v>
      </c>
      <c r="I435" t="s">
        <v>459</v>
      </c>
      <c r="J435">
        <v>6.7</v>
      </c>
      <c r="K435" t="b">
        <f>FALSE()</f>
        <v>0</v>
      </c>
      <c r="L435" t="s">
        <v>460</v>
      </c>
      <c r="M435" t="s">
        <v>22</v>
      </c>
    </row>
    <row r="436" spans="1:13" x14ac:dyDescent="0.3">
      <c r="A436" t="s">
        <v>505</v>
      </c>
      <c r="B436" s="4">
        <v>39731</v>
      </c>
      <c r="C436">
        <v>2008</v>
      </c>
      <c r="D436">
        <v>10</v>
      </c>
      <c r="E436" t="s">
        <v>16</v>
      </c>
      <c r="F436" t="s">
        <v>235</v>
      </c>
      <c r="G436" t="s">
        <v>18</v>
      </c>
      <c r="H436" t="s">
        <v>19</v>
      </c>
      <c r="I436" t="s">
        <v>45</v>
      </c>
      <c r="J436">
        <v>50</v>
      </c>
      <c r="K436" t="b">
        <f>FALSE()</f>
        <v>0</v>
      </c>
      <c r="L436" t="s">
        <v>21</v>
      </c>
      <c r="M436" t="s">
        <v>250</v>
      </c>
    </row>
    <row r="437" spans="1:13" x14ac:dyDescent="0.3">
      <c r="A437" t="s">
        <v>506</v>
      </c>
      <c r="B437" s="4">
        <v>39743</v>
      </c>
      <c r="C437">
        <v>2008</v>
      </c>
      <c r="D437">
        <v>10</v>
      </c>
      <c r="E437" t="s">
        <v>16</v>
      </c>
      <c r="F437" t="s">
        <v>130</v>
      </c>
      <c r="G437" t="s">
        <v>18</v>
      </c>
      <c r="H437" t="s">
        <v>131</v>
      </c>
      <c r="I437" t="s">
        <v>507</v>
      </c>
      <c r="J437">
        <v>28</v>
      </c>
      <c r="K437" t="b">
        <f>FALSE()</f>
        <v>0</v>
      </c>
      <c r="L437" t="s">
        <v>249</v>
      </c>
      <c r="M437" t="s">
        <v>250</v>
      </c>
    </row>
    <row r="438" spans="1:13" x14ac:dyDescent="0.3">
      <c r="A438" t="s">
        <v>508</v>
      </c>
      <c r="B438" s="4">
        <v>39828</v>
      </c>
      <c r="C438">
        <v>2009</v>
      </c>
      <c r="D438">
        <v>1</v>
      </c>
      <c r="E438" t="s">
        <v>16</v>
      </c>
      <c r="F438" t="s">
        <v>118</v>
      </c>
      <c r="G438" t="s">
        <v>119</v>
      </c>
      <c r="H438" t="s">
        <v>120</v>
      </c>
      <c r="I438" t="s">
        <v>374</v>
      </c>
      <c r="J438">
        <v>178</v>
      </c>
      <c r="K438" t="b">
        <f>FALSE()</f>
        <v>0</v>
      </c>
      <c r="L438" t="s">
        <v>122</v>
      </c>
      <c r="M438" t="s">
        <v>250</v>
      </c>
    </row>
    <row r="439" spans="1:13" x14ac:dyDescent="0.3">
      <c r="A439" t="s">
        <v>509</v>
      </c>
      <c r="B439" s="4">
        <v>39854</v>
      </c>
      <c r="C439">
        <v>2009</v>
      </c>
      <c r="D439">
        <v>2</v>
      </c>
      <c r="E439" t="s">
        <v>16</v>
      </c>
      <c r="F439" t="s">
        <v>235</v>
      </c>
      <c r="G439" t="s">
        <v>18</v>
      </c>
      <c r="H439" t="s">
        <v>19</v>
      </c>
      <c r="I439" t="s">
        <v>45</v>
      </c>
      <c r="J439">
        <v>50</v>
      </c>
      <c r="K439" t="b">
        <f>FALSE()</f>
        <v>0</v>
      </c>
      <c r="L439" t="s">
        <v>21</v>
      </c>
      <c r="M439" t="s">
        <v>250</v>
      </c>
    </row>
    <row r="440" spans="1:13" x14ac:dyDescent="0.3">
      <c r="A440" t="s">
        <v>510</v>
      </c>
      <c r="B440" s="4">
        <v>39856</v>
      </c>
      <c r="C440">
        <v>2009</v>
      </c>
      <c r="D440">
        <v>2</v>
      </c>
      <c r="E440" t="s">
        <v>16</v>
      </c>
      <c r="F440" t="s">
        <v>58</v>
      </c>
      <c r="G440" t="s">
        <v>18</v>
      </c>
      <c r="H440" t="s">
        <v>59</v>
      </c>
      <c r="I440" t="s">
        <v>214</v>
      </c>
      <c r="J440">
        <v>70</v>
      </c>
      <c r="K440" t="b">
        <f>FALSE()</f>
        <v>0</v>
      </c>
      <c r="L440" t="s">
        <v>343</v>
      </c>
      <c r="M440" t="s">
        <v>250</v>
      </c>
    </row>
    <row r="441" spans="1:13" x14ac:dyDescent="0.3">
      <c r="A441" t="s">
        <v>511</v>
      </c>
      <c r="B441" s="4">
        <v>39859</v>
      </c>
      <c r="C441">
        <v>2009</v>
      </c>
      <c r="D441">
        <v>2</v>
      </c>
      <c r="E441" t="s">
        <v>16</v>
      </c>
      <c r="F441" t="s">
        <v>235</v>
      </c>
      <c r="G441" t="s">
        <v>18</v>
      </c>
      <c r="H441" t="s">
        <v>19</v>
      </c>
      <c r="I441" t="s">
        <v>45</v>
      </c>
      <c r="J441">
        <v>50</v>
      </c>
      <c r="K441" t="b">
        <f>FALSE()</f>
        <v>0</v>
      </c>
      <c r="L441" t="s">
        <v>21</v>
      </c>
      <c r="M441" t="s">
        <v>250</v>
      </c>
    </row>
    <row r="442" spans="1:13" x14ac:dyDescent="0.3">
      <c r="A442" t="s">
        <v>512</v>
      </c>
      <c r="B442" s="4">
        <v>39864</v>
      </c>
      <c r="C442">
        <v>2009</v>
      </c>
      <c r="D442">
        <v>2</v>
      </c>
      <c r="E442" t="s">
        <v>16</v>
      </c>
      <c r="F442" t="s">
        <v>130</v>
      </c>
      <c r="G442" t="s">
        <v>18</v>
      </c>
      <c r="H442" t="s">
        <v>131</v>
      </c>
      <c r="I442" t="s">
        <v>248</v>
      </c>
      <c r="J442">
        <v>28</v>
      </c>
      <c r="K442" t="b">
        <f>FALSE()</f>
        <v>0</v>
      </c>
      <c r="L442" t="s">
        <v>249</v>
      </c>
      <c r="M442" t="s">
        <v>250</v>
      </c>
    </row>
    <row r="443" spans="1:13" x14ac:dyDescent="0.3">
      <c r="A443" t="s">
        <v>513</v>
      </c>
      <c r="B443" s="4">
        <v>39879</v>
      </c>
      <c r="C443">
        <v>2009</v>
      </c>
      <c r="D443">
        <v>3</v>
      </c>
      <c r="E443" t="s">
        <v>16</v>
      </c>
      <c r="F443" t="s">
        <v>41</v>
      </c>
      <c r="G443" t="s">
        <v>18</v>
      </c>
      <c r="H443" t="s">
        <v>27</v>
      </c>
      <c r="I443" t="s">
        <v>514</v>
      </c>
      <c r="J443">
        <v>50</v>
      </c>
      <c r="K443" t="b">
        <f>FALSE()</f>
        <v>0</v>
      </c>
      <c r="L443" t="s">
        <v>29</v>
      </c>
      <c r="M443" t="s">
        <v>22</v>
      </c>
    </row>
    <row r="444" spans="1:13" x14ac:dyDescent="0.3">
      <c r="A444" t="s">
        <v>515</v>
      </c>
      <c r="B444" s="4">
        <v>39887</v>
      </c>
      <c r="C444">
        <v>2009</v>
      </c>
      <c r="D444">
        <v>3</v>
      </c>
      <c r="E444" t="s">
        <v>16</v>
      </c>
      <c r="F444" t="s">
        <v>118</v>
      </c>
      <c r="G444" t="s">
        <v>119</v>
      </c>
      <c r="H444" t="s">
        <v>120</v>
      </c>
      <c r="I444" t="s">
        <v>374</v>
      </c>
      <c r="J444">
        <v>178</v>
      </c>
      <c r="K444" t="b">
        <f>FALSE()</f>
        <v>0</v>
      </c>
      <c r="L444" t="s">
        <v>122</v>
      </c>
      <c r="M444" t="s">
        <v>250</v>
      </c>
    </row>
    <row r="445" spans="1:13" x14ac:dyDescent="0.3">
      <c r="A445" t="s">
        <v>516</v>
      </c>
      <c r="B445" s="4">
        <v>39887</v>
      </c>
      <c r="C445">
        <v>2009</v>
      </c>
      <c r="D445">
        <v>3</v>
      </c>
      <c r="E445" t="s">
        <v>16</v>
      </c>
      <c r="F445" t="s">
        <v>41</v>
      </c>
      <c r="G445" t="s">
        <v>18</v>
      </c>
      <c r="H445" t="s">
        <v>27</v>
      </c>
      <c r="I445" t="s">
        <v>104</v>
      </c>
      <c r="J445">
        <v>50</v>
      </c>
      <c r="K445" t="b">
        <f>FALSE()</f>
        <v>0</v>
      </c>
      <c r="L445" t="s">
        <v>29</v>
      </c>
      <c r="M445" t="s">
        <v>22</v>
      </c>
    </row>
    <row r="446" spans="1:13" x14ac:dyDescent="0.3">
      <c r="A446" t="s">
        <v>517</v>
      </c>
      <c r="B446" s="4">
        <v>39945</v>
      </c>
      <c r="C446">
        <v>2009</v>
      </c>
      <c r="D446">
        <v>5</v>
      </c>
      <c r="E446" t="s">
        <v>16</v>
      </c>
      <c r="F446" t="s">
        <v>58</v>
      </c>
      <c r="G446" t="s">
        <v>18</v>
      </c>
      <c r="H446" t="s">
        <v>59</v>
      </c>
      <c r="I446" t="s">
        <v>214</v>
      </c>
      <c r="J446">
        <v>70</v>
      </c>
      <c r="K446" t="b">
        <f>FALSE()</f>
        <v>0</v>
      </c>
      <c r="L446" t="s">
        <v>343</v>
      </c>
      <c r="M446" t="s">
        <v>250</v>
      </c>
    </row>
    <row r="447" spans="1:13" x14ac:dyDescent="0.3">
      <c r="A447" t="s">
        <v>518</v>
      </c>
      <c r="B447" s="4">
        <v>39948</v>
      </c>
      <c r="C447">
        <v>2009</v>
      </c>
      <c r="D447">
        <v>5</v>
      </c>
      <c r="E447" t="s">
        <v>16</v>
      </c>
      <c r="F447" t="s">
        <v>118</v>
      </c>
      <c r="G447" t="s">
        <v>119</v>
      </c>
      <c r="H447" t="s">
        <v>120</v>
      </c>
      <c r="I447" t="s">
        <v>374</v>
      </c>
      <c r="J447">
        <v>178</v>
      </c>
      <c r="K447" t="b">
        <f>FALSE()</f>
        <v>0</v>
      </c>
      <c r="L447" t="s">
        <v>122</v>
      </c>
      <c r="M447" t="s">
        <v>250</v>
      </c>
    </row>
    <row r="448" spans="1:13" x14ac:dyDescent="0.3">
      <c r="A448" t="s">
        <v>519</v>
      </c>
      <c r="B448" s="4">
        <v>39948</v>
      </c>
      <c r="C448">
        <v>2009</v>
      </c>
      <c r="D448">
        <v>5</v>
      </c>
      <c r="E448" t="s">
        <v>16</v>
      </c>
      <c r="F448" t="s">
        <v>235</v>
      </c>
      <c r="G448" t="s">
        <v>18</v>
      </c>
      <c r="H448" t="s">
        <v>19</v>
      </c>
      <c r="I448" t="s">
        <v>45</v>
      </c>
      <c r="J448">
        <v>50</v>
      </c>
      <c r="K448" t="b">
        <f>FALSE()</f>
        <v>0</v>
      </c>
      <c r="L448" t="s">
        <v>21</v>
      </c>
      <c r="M448" t="s">
        <v>250</v>
      </c>
    </row>
    <row r="449" spans="1:13" x14ac:dyDescent="0.3">
      <c r="A449" t="s">
        <v>520</v>
      </c>
      <c r="B449" s="4">
        <v>39974</v>
      </c>
      <c r="C449">
        <v>2009</v>
      </c>
      <c r="D449">
        <v>6</v>
      </c>
      <c r="E449" t="s">
        <v>16</v>
      </c>
      <c r="F449" t="s">
        <v>235</v>
      </c>
      <c r="G449" t="s">
        <v>18</v>
      </c>
      <c r="H449" t="s">
        <v>19</v>
      </c>
      <c r="I449" t="s">
        <v>45</v>
      </c>
      <c r="J449">
        <v>50</v>
      </c>
      <c r="K449" t="b">
        <f>FALSE()</f>
        <v>0</v>
      </c>
      <c r="L449" t="s">
        <v>21</v>
      </c>
      <c r="M449" t="s">
        <v>250</v>
      </c>
    </row>
    <row r="450" spans="1:13" x14ac:dyDescent="0.3">
      <c r="A450" t="s">
        <v>521</v>
      </c>
      <c r="B450" s="4">
        <v>40009</v>
      </c>
      <c r="C450">
        <v>2009</v>
      </c>
      <c r="D450">
        <v>7</v>
      </c>
      <c r="E450" t="s">
        <v>16</v>
      </c>
      <c r="F450" t="s">
        <v>118</v>
      </c>
      <c r="G450" t="s">
        <v>119</v>
      </c>
      <c r="H450" t="s">
        <v>120</v>
      </c>
      <c r="I450" t="s">
        <v>374</v>
      </c>
      <c r="J450">
        <v>178</v>
      </c>
      <c r="K450" t="b">
        <f>FALSE()</f>
        <v>0</v>
      </c>
      <c r="L450" t="s">
        <v>122</v>
      </c>
      <c r="M450" t="s">
        <v>250</v>
      </c>
    </row>
    <row r="451" spans="1:13" x14ac:dyDescent="0.3">
      <c r="A451" t="s">
        <v>522</v>
      </c>
      <c r="B451" s="4">
        <v>40037</v>
      </c>
      <c r="C451">
        <v>2009</v>
      </c>
      <c r="D451">
        <v>8</v>
      </c>
      <c r="E451" t="s">
        <v>16</v>
      </c>
      <c r="F451" t="s">
        <v>58</v>
      </c>
      <c r="G451" t="s">
        <v>18</v>
      </c>
      <c r="H451" t="s">
        <v>59</v>
      </c>
      <c r="I451" t="s">
        <v>214</v>
      </c>
      <c r="J451">
        <v>70</v>
      </c>
      <c r="K451" t="b">
        <f>FALSE()</f>
        <v>0</v>
      </c>
      <c r="L451" t="s">
        <v>343</v>
      </c>
      <c r="M451" t="s">
        <v>250</v>
      </c>
    </row>
    <row r="452" spans="1:13" x14ac:dyDescent="0.3">
      <c r="A452" t="s">
        <v>523</v>
      </c>
      <c r="B452" s="4">
        <v>40040</v>
      </c>
      <c r="C452">
        <v>2009</v>
      </c>
      <c r="D452">
        <v>8</v>
      </c>
      <c r="E452" t="s">
        <v>16</v>
      </c>
      <c r="F452" t="s">
        <v>235</v>
      </c>
      <c r="G452" t="s">
        <v>18</v>
      </c>
      <c r="H452" t="s">
        <v>19</v>
      </c>
      <c r="I452" t="s">
        <v>45</v>
      </c>
      <c r="J452">
        <v>50</v>
      </c>
      <c r="K452" t="b">
        <f>FALSE()</f>
        <v>0</v>
      </c>
      <c r="L452" t="s">
        <v>21</v>
      </c>
      <c r="M452" t="s">
        <v>250</v>
      </c>
    </row>
    <row r="453" spans="1:13" x14ac:dyDescent="0.3">
      <c r="A453" t="s">
        <v>524</v>
      </c>
      <c r="B453" s="4">
        <v>40045</v>
      </c>
      <c r="C453">
        <v>2009</v>
      </c>
      <c r="D453">
        <v>8</v>
      </c>
      <c r="E453" t="s">
        <v>16</v>
      </c>
      <c r="F453" t="s">
        <v>130</v>
      </c>
      <c r="G453" t="s">
        <v>18</v>
      </c>
      <c r="H453" t="s">
        <v>131</v>
      </c>
      <c r="I453" t="s">
        <v>248</v>
      </c>
      <c r="J453">
        <v>28</v>
      </c>
      <c r="K453" t="b">
        <f>FALSE()</f>
        <v>0</v>
      </c>
      <c r="L453" t="s">
        <v>249</v>
      </c>
      <c r="M453" t="s">
        <v>250</v>
      </c>
    </row>
    <row r="454" spans="1:13" x14ac:dyDescent="0.3">
      <c r="A454" t="s">
        <v>525</v>
      </c>
      <c r="B454" s="4">
        <v>40096</v>
      </c>
      <c r="C454">
        <v>2009</v>
      </c>
      <c r="D454">
        <v>10</v>
      </c>
      <c r="E454" t="s">
        <v>16</v>
      </c>
      <c r="F454" t="s">
        <v>235</v>
      </c>
      <c r="G454" t="s">
        <v>18</v>
      </c>
      <c r="H454" t="s">
        <v>19</v>
      </c>
      <c r="I454" t="s">
        <v>45</v>
      </c>
      <c r="J454">
        <v>50</v>
      </c>
      <c r="K454" t="b">
        <f>FALSE()</f>
        <v>0</v>
      </c>
      <c r="L454" t="s">
        <v>21</v>
      </c>
      <c r="M454" t="s">
        <v>250</v>
      </c>
    </row>
    <row r="455" spans="1:13" x14ac:dyDescent="0.3">
      <c r="A455" t="s">
        <v>526</v>
      </c>
      <c r="B455" s="4">
        <v>40193</v>
      </c>
      <c r="C455">
        <v>2010</v>
      </c>
      <c r="D455">
        <v>1</v>
      </c>
      <c r="E455" t="s">
        <v>16</v>
      </c>
      <c r="F455" t="s">
        <v>118</v>
      </c>
      <c r="G455" t="s">
        <v>119</v>
      </c>
      <c r="H455" t="s">
        <v>120</v>
      </c>
      <c r="I455" t="s">
        <v>374</v>
      </c>
      <c r="J455">
        <v>178</v>
      </c>
      <c r="K455" t="b">
        <f>FALSE()</f>
        <v>0</v>
      </c>
      <c r="L455" t="s">
        <v>122</v>
      </c>
      <c r="M455" t="s">
        <v>250</v>
      </c>
    </row>
    <row r="456" spans="1:13" x14ac:dyDescent="0.3">
      <c r="A456" t="s">
        <v>527</v>
      </c>
      <c r="B456" s="4">
        <v>40219</v>
      </c>
      <c r="C456">
        <v>2010</v>
      </c>
      <c r="D456">
        <v>2</v>
      </c>
      <c r="E456" t="s">
        <v>16</v>
      </c>
      <c r="F456" t="s">
        <v>235</v>
      </c>
      <c r="G456" t="s">
        <v>18</v>
      </c>
      <c r="H456" t="s">
        <v>19</v>
      </c>
      <c r="I456" t="s">
        <v>45</v>
      </c>
      <c r="J456">
        <v>50</v>
      </c>
      <c r="K456" t="b">
        <f>FALSE()</f>
        <v>0</v>
      </c>
      <c r="L456" t="s">
        <v>21</v>
      </c>
      <c r="M456" t="s">
        <v>250</v>
      </c>
    </row>
    <row r="457" spans="1:13" x14ac:dyDescent="0.3">
      <c r="A457" t="s">
        <v>528</v>
      </c>
      <c r="B457" s="4">
        <v>40221</v>
      </c>
      <c r="C457">
        <v>2010</v>
      </c>
      <c r="D457">
        <v>2</v>
      </c>
      <c r="E457" t="s">
        <v>16</v>
      </c>
      <c r="F457" t="s">
        <v>58</v>
      </c>
      <c r="G457" t="s">
        <v>18</v>
      </c>
      <c r="H457" t="s">
        <v>59</v>
      </c>
      <c r="I457" t="s">
        <v>214</v>
      </c>
      <c r="J457">
        <v>70</v>
      </c>
      <c r="K457" t="b">
        <f>FALSE()</f>
        <v>0</v>
      </c>
      <c r="L457" t="s">
        <v>343</v>
      </c>
      <c r="M457" t="s">
        <v>250</v>
      </c>
    </row>
    <row r="458" spans="1:13" x14ac:dyDescent="0.3">
      <c r="A458" t="s">
        <v>529</v>
      </c>
      <c r="B458" s="4">
        <v>40224</v>
      </c>
      <c r="C458">
        <v>2010</v>
      </c>
      <c r="D458">
        <v>2</v>
      </c>
      <c r="E458" t="s">
        <v>16</v>
      </c>
      <c r="F458" t="s">
        <v>235</v>
      </c>
      <c r="G458" t="s">
        <v>18</v>
      </c>
      <c r="H458" t="s">
        <v>19</v>
      </c>
      <c r="I458" t="s">
        <v>45</v>
      </c>
      <c r="J458">
        <v>50</v>
      </c>
      <c r="K458" t="b">
        <f>FALSE()</f>
        <v>0</v>
      </c>
      <c r="L458" t="s">
        <v>21</v>
      </c>
      <c r="M458" t="s">
        <v>250</v>
      </c>
    </row>
    <row r="459" spans="1:13" x14ac:dyDescent="0.3">
      <c r="A459" t="s">
        <v>530</v>
      </c>
      <c r="B459" s="4">
        <v>40224</v>
      </c>
      <c r="C459">
        <v>2010</v>
      </c>
      <c r="D459">
        <v>2</v>
      </c>
      <c r="E459" t="s">
        <v>16</v>
      </c>
      <c r="F459" t="s">
        <v>235</v>
      </c>
      <c r="G459" t="s">
        <v>18</v>
      </c>
      <c r="H459" t="s">
        <v>19</v>
      </c>
      <c r="I459" t="s">
        <v>45</v>
      </c>
      <c r="J459">
        <v>50</v>
      </c>
      <c r="K459" t="b">
        <f>FALSE()</f>
        <v>0</v>
      </c>
      <c r="L459" t="s">
        <v>21</v>
      </c>
      <c r="M459" t="s">
        <v>250</v>
      </c>
    </row>
    <row r="460" spans="1:13" x14ac:dyDescent="0.3">
      <c r="A460" t="s">
        <v>531</v>
      </c>
      <c r="B460" s="4">
        <v>40229</v>
      </c>
      <c r="C460">
        <v>2010</v>
      </c>
      <c r="D460">
        <v>2</v>
      </c>
      <c r="E460" t="s">
        <v>16</v>
      </c>
      <c r="F460" t="s">
        <v>130</v>
      </c>
      <c r="G460" t="s">
        <v>18</v>
      </c>
      <c r="H460" t="s">
        <v>131</v>
      </c>
      <c r="I460" t="s">
        <v>248</v>
      </c>
      <c r="J460">
        <v>28</v>
      </c>
      <c r="K460" t="b">
        <f>FALSE()</f>
        <v>0</v>
      </c>
      <c r="L460" t="s">
        <v>249</v>
      </c>
      <c r="M460" t="s">
        <v>250</v>
      </c>
    </row>
    <row r="461" spans="1:13" x14ac:dyDescent="0.3">
      <c r="A461" t="s">
        <v>532</v>
      </c>
      <c r="B461" s="4">
        <v>40252</v>
      </c>
      <c r="C461">
        <v>2010</v>
      </c>
      <c r="D461">
        <v>3</v>
      </c>
      <c r="E461" t="s">
        <v>16</v>
      </c>
      <c r="F461" t="s">
        <v>41</v>
      </c>
      <c r="G461" t="s">
        <v>18</v>
      </c>
      <c r="H461" t="s">
        <v>27</v>
      </c>
      <c r="I461" t="s">
        <v>533</v>
      </c>
      <c r="J461">
        <v>110</v>
      </c>
      <c r="K461" t="b">
        <f>FALSE()</f>
        <v>0</v>
      </c>
      <c r="L461" t="s">
        <v>29</v>
      </c>
      <c r="M461" t="s">
        <v>250</v>
      </c>
    </row>
    <row r="462" spans="1:13" x14ac:dyDescent="0.3">
      <c r="A462" t="s">
        <v>534</v>
      </c>
      <c r="B462" s="4">
        <v>40252</v>
      </c>
      <c r="C462">
        <v>2010</v>
      </c>
      <c r="D462">
        <v>3</v>
      </c>
      <c r="E462" t="s">
        <v>16</v>
      </c>
      <c r="F462" t="s">
        <v>118</v>
      </c>
      <c r="G462" t="s">
        <v>119</v>
      </c>
      <c r="H462" t="s">
        <v>120</v>
      </c>
      <c r="I462" t="s">
        <v>374</v>
      </c>
      <c r="J462">
        <v>178</v>
      </c>
      <c r="K462" t="b">
        <f>FALSE()</f>
        <v>0</v>
      </c>
      <c r="L462" t="s">
        <v>122</v>
      </c>
      <c r="M462" t="s">
        <v>250</v>
      </c>
    </row>
    <row r="463" spans="1:13" x14ac:dyDescent="0.3">
      <c r="A463" t="s">
        <v>535</v>
      </c>
      <c r="B463" s="4">
        <v>40310</v>
      </c>
      <c r="C463">
        <v>2010</v>
      </c>
      <c r="D463">
        <v>5</v>
      </c>
      <c r="E463" t="s">
        <v>16</v>
      </c>
      <c r="F463" t="s">
        <v>58</v>
      </c>
      <c r="G463" t="s">
        <v>18</v>
      </c>
      <c r="H463" t="s">
        <v>59</v>
      </c>
      <c r="I463" t="s">
        <v>214</v>
      </c>
      <c r="J463">
        <v>70</v>
      </c>
      <c r="K463" t="b">
        <f>FALSE()</f>
        <v>0</v>
      </c>
      <c r="L463" t="s">
        <v>343</v>
      </c>
      <c r="M463" t="s">
        <v>250</v>
      </c>
    </row>
    <row r="464" spans="1:13" x14ac:dyDescent="0.3">
      <c r="A464" t="s">
        <v>536</v>
      </c>
      <c r="B464" s="4">
        <v>40313</v>
      </c>
      <c r="C464">
        <v>2010</v>
      </c>
      <c r="D464">
        <v>5</v>
      </c>
      <c r="E464" t="s">
        <v>16</v>
      </c>
      <c r="F464" t="s">
        <v>235</v>
      </c>
      <c r="G464" t="s">
        <v>18</v>
      </c>
      <c r="H464" t="s">
        <v>19</v>
      </c>
      <c r="I464" t="s">
        <v>45</v>
      </c>
      <c r="J464">
        <v>50</v>
      </c>
      <c r="K464" t="b">
        <f>FALSE()</f>
        <v>0</v>
      </c>
      <c r="L464" t="s">
        <v>21</v>
      </c>
      <c r="M464" t="s">
        <v>250</v>
      </c>
    </row>
    <row r="465" spans="1:13" x14ac:dyDescent="0.3">
      <c r="A465" t="s">
        <v>537</v>
      </c>
      <c r="B465" s="4">
        <v>40313</v>
      </c>
      <c r="C465">
        <v>2010</v>
      </c>
      <c r="D465">
        <v>5</v>
      </c>
      <c r="E465" t="s">
        <v>16</v>
      </c>
      <c r="F465" t="s">
        <v>118</v>
      </c>
      <c r="G465" t="s">
        <v>119</v>
      </c>
      <c r="H465" t="s">
        <v>120</v>
      </c>
      <c r="I465" t="s">
        <v>374</v>
      </c>
      <c r="J465">
        <v>178</v>
      </c>
      <c r="K465" t="b">
        <f>FALSE()</f>
        <v>0</v>
      </c>
      <c r="L465" t="s">
        <v>122</v>
      </c>
      <c r="M465" t="s">
        <v>250</v>
      </c>
    </row>
    <row r="466" spans="1:13" x14ac:dyDescent="0.3">
      <c r="A466" t="s">
        <v>538</v>
      </c>
      <c r="B466" s="4">
        <v>40333</v>
      </c>
      <c r="C466">
        <v>2010</v>
      </c>
      <c r="D466">
        <v>6</v>
      </c>
      <c r="E466" t="s">
        <v>16</v>
      </c>
      <c r="F466" t="s">
        <v>458</v>
      </c>
      <c r="G466" t="s">
        <v>119</v>
      </c>
      <c r="H466" t="s">
        <v>27</v>
      </c>
      <c r="I466" t="s">
        <v>539</v>
      </c>
      <c r="J466">
        <v>62</v>
      </c>
      <c r="K466" t="b">
        <f>TRUE()</f>
        <v>1</v>
      </c>
      <c r="L466" t="s">
        <v>29</v>
      </c>
      <c r="M466" t="s">
        <v>22</v>
      </c>
    </row>
    <row r="467" spans="1:13" x14ac:dyDescent="0.3">
      <c r="A467" t="s">
        <v>540</v>
      </c>
      <c r="B467" s="4">
        <v>40339</v>
      </c>
      <c r="C467">
        <v>2010</v>
      </c>
      <c r="D467">
        <v>6</v>
      </c>
      <c r="E467" t="s">
        <v>16</v>
      </c>
      <c r="F467" t="s">
        <v>235</v>
      </c>
      <c r="G467" t="s">
        <v>18</v>
      </c>
      <c r="H467" t="s">
        <v>19</v>
      </c>
      <c r="I467" t="s">
        <v>45</v>
      </c>
      <c r="J467">
        <v>50</v>
      </c>
      <c r="K467" t="b">
        <f>FALSE()</f>
        <v>0</v>
      </c>
      <c r="L467" t="s">
        <v>21</v>
      </c>
      <c r="M467" t="s">
        <v>250</v>
      </c>
    </row>
    <row r="468" spans="1:13" x14ac:dyDescent="0.3">
      <c r="A468" t="s">
        <v>541</v>
      </c>
      <c r="B468" s="4">
        <v>40374</v>
      </c>
      <c r="C468">
        <v>2010</v>
      </c>
      <c r="D468">
        <v>7</v>
      </c>
      <c r="E468" t="s">
        <v>16</v>
      </c>
      <c r="F468" t="s">
        <v>118</v>
      </c>
      <c r="G468" t="s">
        <v>119</v>
      </c>
      <c r="H468" t="s">
        <v>120</v>
      </c>
      <c r="I468" t="s">
        <v>374</v>
      </c>
      <c r="J468">
        <v>178</v>
      </c>
      <c r="K468" t="b">
        <f>FALSE()</f>
        <v>0</v>
      </c>
      <c r="L468" t="s">
        <v>122</v>
      </c>
      <c r="M468" t="s">
        <v>250</v>
      </c>
    </row>
    <row r="469" spans="1:13" x14ac:dyDescent="0.3">
      <c r="A469" t="s">
        <v>542</v>
      </c>
      <c r="B469" s="4">
        <v>40402</v>
      </c>
      <c r="C469">
        <v>2010</v>
      </c>
      <c r="D469">
        <v>8</v>
      </c>
      <c r="E469" t="s">
        <v>16</v>
      </c>
      <c r="F469" t="s">
        <v>58</v>
      </c>
      <c r="G469" t="s">
        <v>18</v>
      </c>
      <c r="H469" t="s">
        <v>59</v>
      </c>
      <c r="I469" t="s">
        <v>214</v>
      </c>
      <c r="J469">
        <v>70</v>
      </c>
      <c r="K469" t="b">
        <f>FALSE()</f>
        <v>0</v>
      </c>
      <c r="L469" t="s">
        <v>343</v>
      </c>
      <c r="M469" t="s">
        <v>250</v>
      </c>
    </row>
    <row r="470" spans="1:13" x14ac:dyDescent="0.3">
      <c r="A470" t="s">
        <v>543</v>
      </c>
      <c r="B470" s="4">
        <v>40405</v>
      </c>
      <c r="C470">
        <v>2010</v>
      </c>
      <c r="D470">
        <v>8</v>
      </c>
      <c r="E470" t="s">
        <v>16</v>
      </c>
      <c r="F470" t="s">
        <v>235</v>
      </c>
      <c r="G470" t="s">
        <v>18</v>
      </c>
      <c r="H470" t="s">
        <v>19</v>
      </c>
      <c r="I470" t="s">
        <v>45</v>
      </c>
      <c r="J470">
        <v>50</v>
      </c>
      <c r="K470" t="b">
        <f>FALSE()</f>
        <v>0</v>
      </c>
      <c r="L470" t="s">
        <v>21</v>
      </c>
      <c r="M470" t="s">
        <v>250</v>
      </c>
    </row>
    <row r="471" spans="1:13" x14ac:dyDescent="0.3">
      <c r="A471" t="s">
        <v>544</v>
      </c>
      <c r="B471" s="4">
        <v>40410</v>
      </c>
      <c r="C471">
        <v>2010</v>
      </c>
      <c r="D471">
        <v>8</v>
      </c>
      <c r="E471" t="s">
        <v>16</v>
      </c>
      <c r="F471" t="s">
        <v>130</v>
      </c>
      <c r="G471" t="s">
        <v>18</v>
      </c>
      <c r="H471" t="s">
        <v>131</v>
      </c>
      <c r="I471" t="s">
        <v>248</v>
      </c>
      <c r="J471">
        <v>28</v>
      </c>
      <c r="K471" t="b">
        <f>FALSE()</f>
        <v>0</v>
      </c>
      <c r="L471" t="s">
        <v>249</v>
      </c>
      <c r="M471" t="s">
        <v>250</v>
      </c>
    </row>
    <row r="472" spans="1:13" x14ac:dyDescent="0.3">
      <c r="A472" t="s">
        <v>545</v>
      </c>
      <c r="B472" s="4">
        <v>40436</v>
      </c>
      <c r="C472">
        <v>2010</v>
      </c>
      <c r="D472">
        <v>9</v>
      </c>
      <c r="E472" t="s">
        <v>16</v>
      </c>
      <c r="F472" t="s">
        <v>41</v>
      </c>
      <c r="G472" t="s">
        <v>18</v>
      </c>
      <c r="H472" t="s">
        <v>27</v>
      </c>
      <c r="I472" t="s">
        <v>533</v>
      </c>
      <c r="J472">
        <v>110</v>
      </c>
      <c r="K472" t="b">
        <f>FALSE()</f>
        <v>0</v>
      </c>
      <c r="L472" t="s">
        <v>29</v>
      </c>
      <c r="M472" t="s">
        <v>250</v>
      </c>
    </row>
    <row r="473" spans="1:13" x14ac:dyDescent="0.3">
      <c r="A473" t="s">
        <v>546</v>
      </c>
      <c r="B473" s="4">
        <v>40461</v>
      </c>
      <c r="C473">
        <v>2010</v>
      </c>
      <c r="D473">
        <v>10</v>
      </c>
      <c r="E473" t="s">
        <v>16</v>
      </c>
      <c r="F473" t="s">
        <v>235</v>
      </c>
      <c r="G473" t="s">
        <v>18</v>
      </c>
      <c r="H473" t="s">
        <v>19</v>
      </c>
      <c r="I473" t="s">
        <v>45</v>
      </c>
      <c r="J473">
        <v>50</v>
      </c>
      <c r="K473" t="b">
        <f>FALSE()</f>
        <v>0</v>
      </c>
      <c r="L473" t="s">
        <v>21</v>
      </c>
      <c r="M473" t="s">
        <v>250</v>
      </c>
    </row>
    <row r="474" spans="1:13" x14ac:dyDescent="0.3">
      <c r="A474" t="s">
        <v>547</v>
      </c>
      <c r="B474" s="4">
        <v>40494</v>
      </c>
      <c r="C474">
        <v>2010</v>
      </c>
      <c r="D474">
        <v>11</v>
      </c>
      <c r="E474" t="s">
        <v>16</v>
      </c>
      <c r="F474" t="s">
        <v>58</v>
      </c>
      <c r="G474" t="s">
        <v>18</v>
      </c>
      <c r="H474" t="s">
        <v>59</v>
      </c>
      <c r="I474" t="s">
        <v>214</v>
      </c>
      <c r="J474">
        <v>70</v>
      </c>
      <c r="K474" t="b">
        <f>FALSE()</f>
        <v>0</v>
      </c>
      <c r="L474" t="s">
        <v>343</v>
      </c>
      <c r="M474" t="s">
        <v>250</v>
      </c>
    </row>
    <row r="475" spans="1:13" x14ac:dyDescent="0.3">
      <c r="A475" t="s">
        <v>548</v>
      </c>
      <c r="B475" s="4">
        <v>40497</v>
      </c>
      <c r="C475">
        <v>2010</v>
      </c>
      <c r="D475">
        <v>11</v>
      </c>
      <c r="E475" t="s">
        <v>16</v>
      </c>
      <c r="F475" t="s">
        <v>235</v>
      </c>
      <c r="G475" t="s">
        <v>18</v>
      </c>
      <c r="H475" t="s">
        <v>19</v>
      </c>
      <c r="I475" t="s">
        <v>45</v>
      </c>
      <c r="J475">
        <v>50</v>
      </c>
      <c r="K475" t="b">
        <f>FALSE()</f>
        <v>0</v>
      </c>
      <c r="L475" t="s">
        <v>21</v>
      </c>
      <c r="M475" t="s">
        <v>250</v>
      </c>
    </row>
    <row r="476" spans="1:13" x14ac:dyDescent="0.3">
      <c r="A476" t="s">
        <v>549</v>
      </c>
      <c r="B476" s="4">
        <v>40524</v>
      </c>
      <c r="C476">
        <v>2010</v>
      </c>
      <c r="D476">
        <v>12</v>
      </c>
      <c r="E476" t="s">
        <v>16</v>
      </c>
      <c r="F476" t="s">
        <v>58</v>
      </c>
      <c r="G476" t="s">
        <v>18</v>
      </c>
      <c r="H476" t="s">
        <v>59</v>
      </c>
      <c r="I476" t="s">
        <v>214</v>
      </c>
      <c r="J476">
        <v>70</v>
      </c>
      <c r="K476" t="b">
        <f>FALSE()</f>
        <v>0</v>
      </c>
      <c r="L476" t="s">
        <v>343</v>
      </c>
      <c r="M476" t="s">
        <v>250</v>
      </c>
    </row>
    <row r="477" spans="1:13" x14ac:dyDescent="0.3">
      <c r="A477" t="s">
        <v>550</v>
      </c>
      <c r="B477" s="4">
        <v>40524</v>
      </c>
      <c r="C477">
        <v>2010</v>
      </c>
      <c r="D477">
        <v>12</v>
      </c>
      <c r="E477" t="s">
        <v>16</v>
      </c>
      <c r="F477" t="s">
        <v>58</v>
      </c>
      <c r="G477" t="s">
        <v>18</v>
      </c>
      <c r="H477" t="s">
        <v>59</v>
      </c>
      <c r="I477" t="s">
        <v>214</v>
      </c>
      <c r="J477">
        <v>70</v>
      </c>
      <c r="K477" t="b">
        <f>FALSE()</f>
        <v>0</v>
      </c>
      <c r="L477" t="s">
        <v>343</v>
      </c>
      <c r="M477" t="s">
        <v>250</v>
      </c>
    </row>
    <row r="478" spans="1:13" x14ac:dyDescent="0.3">
      <c r="A478" t="s">
        <v>551</v>
      </c>
      <c r="B478" s="4">
        <v>40558</v>
      </c>
      <c r="C478">
        <v>2011</v>
      </c>
      <c r="D478">
        <v>1</v>
      </c>
      <c r="E478" t="s">
        <v>16</v>
      </c>
      <c r="F478" t="s">
        <v>118</v>
      </c>
      <c r="G478" t="s">
        <v>119</v>
      </c>
      <c r="H478" t="s">
        <v>120</v>
      </c>
      <c r="I478" t="s">
        <v>374</v>
      </c>
      <c r="J478">
        <v>178</v>
      </c>
      <c r="K478" t="b">
        <f>FALSE()</f>
        <v>0</v>
      </c>
      <c r="L478" t="s">
        <v>122</v>
      </c>
      <c r="M478" t="s">
        <v>250</v>
      </c>
    </row>
    <row r="479" spans="1:13" x14ac:dyDescent="0.3">
      <c r="A479" t="s">
        <v>552</v>
      </c>
      <c r="B479" s="4">
        <v>40584</v>
      </c>
      <c r="C479">
        <v>2011</v>
      </c>
      <c r="D479">
        <v>2</v>
      </c>
      <c r="E479" t="s">
        <v>16</v>
      </c>
      <c r="F479" t="s">
        <v>235</v>
      </c>
      <c r="G479" t="s">
        <v>18</v>
      </c>
      <c r="H479" t="s">
        <v>19</v>
      </c>
      <c r="I479" t="s">
        <v>45</v>
      </c>
      <c r="J479">
        <v>50</v>
      </c>
      <c r="K479" t="b">
        <f>FALSE()</f>
        <v>0</v>
      </c>
      <c r="L479" t="s">
        <v>21</v>
      </c>
      <c r="M479" t="s">
        <v>250</v>
      </c>
    </row>
    <row r="480" spans="1:13" x14ac:dyDescent="0.3">
      <c r="A480" t="s">
        <v>553</v>
      </c>
      <c r="B480" s="4">
        <v>40586</v>
      </c>
      <c r="C480">
        <v>2011</v>
      </c>
      <c r="D480">
        <v>2</v>
      </c>
      <c r="E480" t="s">
        <v>16</v>
      </c>
      <c r="F480" t="s">
        <v>58</v>
      </c>
      <c r="G480" t="s">
        <v>18</v>
      </c>
      <c r="H480" t="s">
        <v>59</v>
      </c>
      <c r="I480" t="s">
        <v>214</v>
      </c>
      <c r="J480">
        <v>70</v>
      </c>
      <c r="K480" t="b">
        <f>FALSE()</f>
        <v>0</v>
      </c>
      <c r="L480" t="s">
        <v>343</v>
      </c>
      <c r="M480" t="s">
        <v>250</v>
      </c>
    </row>
    <row r="481" spans="1:13" x14ac:dyDescent="0.3">
      <c r="A481" t="s">
        <v>554</v>
      </c>
      <c r="B481" s="4">
        <v>40589</v>
      </c>
      <c r="C481">
        <v>2011</v>
      </c>
      <c r="D481">
        <v>2</v>
      </c>
      <c r="E481" t="s">
        <v>16</v>
      </c>
      <c r="F481" t="s">
        <v>235</v>
      </c>
      <c r="G481" t="s">
        <v>18</v>
      </c>
      <c r="H481" t="s">
        <v>19</v>
      </c>
      <c r="I481" t="s">
        <v>45</v>
      </c>
      <c r="J481">
        <v>50</v>
      </c>
      <c r="K481" t="b">
        <f>FALSE()</f>
        <v>0</v>
      </c>
      <c r="L481" t="s">
        <v>21</v>
      </c>
      <c r="M481" t="s">
        <v>250</v>
      </c>
    </row>
    <row r="482" spans="1:13" x14ac:dyDescent="0.3">
      <c r="A482" t="s">
        <v>555</v>
      </c>
      <c r="B482" s="4">
        <v>40589</v>
      </c>
      <c r="C482">
        <v>2011</v>
      </c>
      <c r="D482">
        <v>2</v>
      </c>
      <c r="E482" t="s">
        <v>16</v>
      </c>
      <c r="F482" t="s">
        <v>235</v>
      </c>
      <c r="G482" t="s">
        <v>18</v>
      </c>
      <c r="H482" t="s">
        <v>19</v>
      </c>
      <c r="I482" t="s">
        <v>45</v>
      </c>
      <c r="J482">
        <v>50</v>
      </c>
      <c r="K482" t="b">
        <f>FALSE()</f>
        <v>0</v>
      </c>
      <c r="L482" t="s">
        <v>21</v>
      </c>
      <c r="M482" t="s">
        <v>250</v>
      </c>
    </row>
    <row r="483" spans="1:13" x14ac:dyDescent="0.3">
      <c r="A483" t="s">
        <v>556</v>
      </c>
      <c r="B483" s="4">
        <v>40594</v>
      </c>
      <c r="C483">
        <v>2011</v>
      </c>
      <c r="D483">
        <v>2</v>
      </c>
      <c r="E483" t="s">
        <v>16</v>
      </c>
      <c r="F483" t="s">
        <v>130</v>
      </c>
      <c r="G483" t="s">
        <v>18</v>
      </c>
      <c r="H483" t="s">
        <v>131</v>
      </c>
      <c r="I483" t="s">
        <v>248</v>
      </c>
      <c r="J483">
        <v>28</v>
      </c>
      <c r="K483" t="b">
        <f>FALSE()</f>
        <v>0</v>
      </c>
      <c r="L483" t="s">
        <v>249</v>
      </c>
      <c r="M483" t="s">
        <v>250</v>
      </c>
    </row>
    <row r="484" spans="1:13" x14ac:dyDescent="0.3">
      <c r="A484" t="s">
        <v>557</v>
      </c>
      <c r="B484" s="4">
        <v>40617</v>
      </c>
      <c r="C484">
        <v>2011</v>
      </c>
      <c r="D484">
        <v>3</v>
      </c>
      <c r="E484" t="s">
        <v>16</v>
      </c>
      <c r="F484" t="s">
        <v>118</v>
      </c>
      <c r="G484" t="s">
        <v>119</v>
      </c>
      <c r="H484" t="s">
        <v>120</v>
      </c>
      <c r="I484" t="s">
        <v>374</v>
      </c>
      <c r="J484">
        <v>178</v>
      </c>
      <c r="K484" t="b">
        <f>FALSE()</f>
        <v>0</v>
      </c>
      <c r="L484" t="s">
        <v>122</v>
      </c>
      <c r="M484" t="s">
        <v>250</v>
      </c>
    </row>
    <row r="485" spans="1:13" x14ac:dyDescent="0.3">
      <c r="A485" t="s">
        <v>558</v>
      </c>
      <c r="B485" s="4">
        <v>40617</v>
      </c>
      <c r="C485">
        <v>2011</v>
      </c>
      <c r="D485">
        <v>3</v>
      </c>
      <c r="E485" t="s">
        <v>16</v>
      </c>
      <c r="F485" t="s">
        <v>41</v>
      </c>
      <c r="G485" t="s">
        <v>18</v>
      </c>
      <c r="H485" t="s">
        <v>27</v>
      </c>
      <c r="I485" t="s">
        <v>533</v>
      </c>
      <c r="J485">
        <v>110</v>
      </c>
      <c r="K485" t="b">
        <f>FALSE()</f>
        <v>0</v>
      </c>
      <c r="L485" t="s">
        <v>29</v>
      </c>
      <c r="M485" t="s">
        <v>250</v>
      </c>
    </row>
    <row r="486" spans="1:13" x14ac:dyDescent="0.3">
      <c r="A486" t="s">
        <v>559</v>
      </c>
      <c r="B486" s="4">
        <v>40675</v>
      </c>
      <c r="C486">
        <v>2011</v>
      </c>
      <c r="D486">
        <v>5</v>
      </c>
      <c r="E486" t="s">
        <v>16</v>
      </c>
      <c r="F486" t="s">
        <v>58</v>
      </c>
      <c r="G486" t="s">
        <v>18</v>
      </c>
      <c r="H486" t="s">
        <v>59</v>
      </c>
      <c r="I486" t="s">
        <v>214</v>
      </c>
      <c r="J486">
        <v>70</v>
      </c>
      <c r="K486" t="b">
        <f>FALSE()</f>
        <v>0</v>
      </c>
      <c r="L486" t="s">
        <v>343</v>
      </c>
      <c r="M486" t="s">
        <v>250</v>
      </c>
    </row>
    <row r="487" spans="1:13" x14ac:dyDescent="0.3">
      <c r="A487" t="s">
        <v>560</v>
      </c>
      <c r="B487" s="4">
        <v>40678</v>
      </c>
      <c r="C487">
        <v>2011</v>
      </c>
      <c r="D487">
        <v>5</v>
      </c>
      <c r="E487" t="s">
        <v>16</v>
      </c>
      <c r="F487" t="s">
        <v>118</v>
      </c>
      <c r="G487" t="s">
        <v>119</v>
      </c>
      <c r="H487" t="s">
        <v>120</v>
      </c>
      <c r="I487" t="s">
        <v>374</v>
      </c>
      <c r="J487">
        <v>178</v>
      </c>
      <c r="K487" t="b">
        <f>FALSE()</f>
        <v>0</v>
      </c>
      <c r="L487" t="s">
        <v>122</v>
      </c>
      <c r="M487" t="s">
        <v>250</v>
      </c>
    </row>
    <row r="488" spans="1:13" x14ac:dyDescent="0.3">
      <c r="A488" t="s">
        <v>561</v>
      </c>
      <c r="B488" s="4">
        <v>40678</v>
      </c>
      <c r="C488">
        <v>2011</v>
      </c>
      <c r="D488">
        <v>5</v>
      </c>
      <c r="E488" t="s">
        <v>16</v>
      </c>
      <c r="F488" t="s">
        <v>235</v>
      </c>
      <c r="G488" t="s">
        <v>18</v>
      </c>
      <c r="H488" t="s">
        <v>19</v>
      </c>
      <c r="I488" t="s">
        <v>45</v>
      </c>
      <c r="J488">
        <v>50</v>
      </c>
      <c r="K488" t="b">
        <f>FALSE()</f>
        <v>0</v>
      </c>
      <c r="L488" t="s">
        <v>21</v>
      </c>
      <c r="M488" t="s">
        <v>250</v>
      </c>
    </row>
    <row r="489" spans="1:13" x14ac:dyDescent="0.3">
      <c r="A489" t="s">
        <v>562</v>
      </c>
      <c r="B489" s="4">
        <v>40704</v>
      </c>
      <c r="C489">
        <v>2011</v>
      </c>
      <c r="D489">
        <v>6</v>
      </c>
      <c r="E489" t="s">
        <v>16</v>
      </c>
      <c r="F489" t="s">
        <v>235</v>
      </c>
      <c r="G489" t="s">
        <v>18</v>
      </c>
      <c r="H489" t="s">
        <v>19</v>
      </c>
      <c r="I489" t="s">
        <v>45</v>
      </c>
      <c r="J489">
        <v>50</v>
      </c>
      <c r="K489" t="b">
        <f>FALSE()</f>
        <v>0</v>
      </c>
      <c r="L489" t="s">
        <v>21</v>
      </c>
      <c r="M489" t="s">
        <v>250</v>
      </c>
    </row>
    <row r="490" spans="1:13" x14ac:dyDescent="0.3">
      <c r="A490" t="s">
        <v>563</v>
      </c>
      <c r="B490" s="4">
        <v>40732</v>
      </c>
      <c r="C490">
        <v>2011</v>
      </c>
      <c r="D490">
        <v>7</v>
      </c>
      <c r="E490" t="s">
        <v>16</v>
      </c>
      <c r="F490" t="s">
        <v>41</v>
      </c>
      <c r="G490" t="s">
        <v>18</v>
      </c>
      <c r="H490" t="s">
        <v>27</v>
      </c>
      <c r="I490" t="s">
        <v>141</v>
      </c>
      <c r="J490">
        <v>450</v>
      </c>
      <c r="K490" t="b">
        <f>TRUE()</f>
        <v>1</v>
      </c>
      <c r="L490" t="s">
        <v>53</v>
      </c>
      <c r="M490" t="s">
        <v>22</v>
      </c>
    </row>
    <row r="491" spans="1:13" x14ac:dyDescent="0.3">
      <c r="A491" t="s">
        <v>564</v>
      </c>
      <c r="B491" s="4">
        <v>40739</v>
      </c>
      <c r="C491">
        <v>2011</v>
      </c>
      <c r="D491">
        <v>7</v>
      </c>
      <c r="E491" t="s">
        <v>16</v>
      </c>
      <c r="F491" t="s">
        <v>118</v>
      </c>
      <c r="G491" t="s">
        <v>119</v>
      </c>
      <c r="H491" t="s">
        <v>120</v>
      </c>
      <c r="I491" t="s">
        <v>374</v>
      </c>
      <c r="J491">
        <v>178</v>
      </c>
      <c r="K491" t="b">
        <f>FALSE()</f>
        <v>0</v>
      </c>
      <c r="L491" t="s">
        <v>122</v>
      </c>
      <c r="M491" t="s">
        <v>250</v>
      </c>
    </row>
    <row r="492" spans="1:13" x14ac:dyDescent="0.3">
      <c r="A492" t="s">
        <v>565</v>
      </c>
      <c r="B492" s="4">
        <v>40767</v>
      </c>
      <c r="C492">
        <v>2011</v>
      </c>
      <c r="D492">
        <v>8</v>
      </c>
      <c r="E492" t="s">
        <v>16</v>
      </c>
      <c r="F492" t="s">
        <v>58</v>
      </c>
      <c r="G492" t="s">
        <v>18</v>
      </c>
      <c r="H492" t="s">
        <v>59</v>
      </c>
      <c r="I492" t="s">
        <v>214</v>
      </c>
      <c r="J492">
        <v>70</v>
      </c>
      <c r="K492" t="b">
        <f>FALSE()</f>
        <v>0</v>
      </c>
      <c r="L492" t="s">
        <v>343</v>
      </c>
      <c r="M492" t="s">
        <v>250</v>
      </c>
    </row>
    <row r="493" spans="1:13" x14ac:dyDescent="0.3">
      <c r="A493" t="s">
        <v>566</v>
      </c>
      <c r="B493" s="4">
        <v>40770</v>
      </c>
      <c r="C493">
        <v>2011</v>
      </c>
      <c r="D493">
        <v>8</v>
      </c>
      <c r="E493" t="s">
        <v>16</v>
      </c>
      <c r="F493" t="s">
        <v>235</v>
      </c>
      <c r="G493" t="s">
        <v>18</v>
      </c>
      <c r="H493" t="s">
        <v>19</v>
      </c>
      <c r="I493" t="s">
        <v>45</v>
      </c>
      <c r="J493">
        <v>50</v>
      </c>
      <c r="K493" t="b">
        <f>FALSE()</f>
        <v>0</v>
      </c>
      <c r="L493" t="s">
        <v>21</v>
      </c>
      <c r="M493" t="s">
        <v>250</v>
      </c>
    </row>
    <row r="494" spans="1:13" x14ac:dyDescent="0.3">
      <c r="A494" t="s">
        <v>567</v>
      </c>
      <c r="B494" s="4">
        <v>40775</v>
      </c>
      <c r="C494">
        <v>2011</v>
      </c>
      <c r="D494">
        <v>8</v>
      </c>
      <c r="E494" t="s">
        <v>16</v>
      </c>
      <c r="F494" t="s">
        <v>130</v>
      </c>
      <c r="G494" t="s">
        <v>18</v>
      </c>
      <c r="H494" t="s">
        <v>131</v>
      </c>
      <c r="I494" t="s">
        <v>248</v>
      </c>
      <c r="J494">
        <v>28</v>
      </c>
      <c r="K494" t="b">
        <f>FALSE()</f>
        <v>0</v>
      </c>
      <c r="L494" t="s">
        <v>249</v>
      </c>
      <c r="M494" t="s">
        <v>250</v>
      </c>
    </row>
    <row r="495" spans="1:13" x14ac:dyDescent="0.3">
      <c r="A495" t="s">
        <v>568</v>
      </c>
      <c r="B495" s="4">
        <v>40801</v>
      </c>
      <c r="C495">
        <v>2011</v>
      </c>
      <c r="D495">
        <v>9</v>
      </c>
      <c r="E495" t="s">
        <v>16</v>
      </c>
      <c r="F495" t="s">
        <v>41</v>
      </c>
      <c r="G495" t="s">
        <v>18</v>
      </c>
      <c r="H495" t="s">
        <v>27</v>
      </c>
      <c r="I495" t="s">
        <v>533</v>
      </c>
      <c r="J495">
        <v>110</v>
      </c>
      <c r="K495" t="b">
        <f>FALSE()</f>
        <v>0</v>
      </c>
      <c r="L495" t="s">
        <v>29</v>
      </c>
      <c r="M495" t="s">
        <v>250</v>
      </c>
    </row>
    <row r="496" spans="1:13" x14ac:dyDescent="0.3">
      <c r="A496" t="s">
        <v>569</v>
      </c>
      <c r="B496" s="4">
        <v>40826</v>
      </c>
      <c r="C496">
        <v>2011</v>
      </c>
      <c r="D496">
        <v>10</v>
      </c>
      <c r="E496" t="s">
        <v>16</v>
      </c>
      <c r="F496" t="s">
        <v>235</v>
      </c>
      <c r="G496" t="s">
        <v>18</v>
      </c>
      <c r="H496" t="s">
        <v>19</v>
      </c>
      <c r="I496" t="s">
        <v>45</v>
      </c>
      <c r="J496">
        <v>50</v>
      </c>
      <c r="K496" t="b">
        <f>FALSE()</f>
        <v>0</v>
      </c>
      <c r="L496" t="s">
        <v>21</v>
      </c>
      <c r="M496" t="s">
        <v>250</v>
      </c>
    </row>
    <row r="497" spans="1:13" x14ac:dyDescent="0.3">
      <c r="A497" t="s">
        <v>570</v>
      </c>
      <c r="B497" s="4">
        <v>40859</v>
      </c>
      <c r="C497">
        <v>2011</v>
      </c>
      <c r="D497">
        <v>11</v>
      </c>
      <c r="E497" t="s">
        <v>16</v>
      </c>
      <c r="F497" t="s">
        <v>58</v>
      </c>
      <c r="G497" t="s">
        <v>18</v>
      </c>
      <c r="H497" t="s">
        <v>59</v>
      </c>
      <c r="I497" t="s">
        <v>214</v>
      </c>
      <c r="J497">
        <v>70</v>
      </c>
      <c r="K497" t="b">
        <f>FALSE()</f>
        <v>0</v>
      </c>
      <c r="L497" t="s">
        <v>343</v>
      </c>
      <c r="M497" t="s">
        <v>250</v>
      </c>
    </row>
    <row r="498" spans="1:13" x14ac:dyDescent="0.3">
      <c r="A498" t="s">
        <v>571</v>
      </c>
      <c r="B498" s="4">
        <v>40862</v>
      </c>
      <c r="C498">
        <v>2011</v>
      </c>
      <c r="D498">
        <v>11</v>
      </c>
      <c r="E498" t="s">
        <v>16</v>
      </c>
      <c r="F498" t="s">
        <v>235</v>
      </c>
      <c r="G498" t="s">
        <v>18</v>
      </c>
      <c r="H498" t="s">
        <v>19</v>
      </c>
      <c r="I498" t="s">
        <v>45</v>
      </c>
      <c r="J498">
        <v>50</v>
      </c>
      <c r="K498" t="b">
        <f>FALSE()</f>
        <v>0</v>
      </c>
      <c r="L498" t="s">
        <v>21</v>
      </c>
      <c r="M498" t="s">
        <v>250</v>
      </c>
    </row>
    <row r="499" spans="1:13" x14ac:dyDescent="0.3">
      <c r="A499" t="s">
        <v>572</v>
      </c>
      <c r="B499" s="4">
        <v>40873</v>
      </c>
      <c r="C499">
        <v>2011</v>
      </c>
      <c r="D499">
        <v>11</v>
      </c>
      <c r="E499" t="s">
        <v>16</v>
      </c>
      <c r="F499" t="s">
        <v>41</v>
      </c>
      <c r="G499" t="s">
        <v>18</v>
      </c>
      <c r="H499" t="s">
        <v>27</v>
      </c>
      <c r="I499" t="s">
        <v>573</v>
      </c>
      <c r="J499">
        <v>110</v>
      </c>
      <c r="K499" t="b">
        <f>FALSE()</f>
        <v>0</v>
      </c>
      <c r="L499" t="s">
        <v>29</v>
      </c>
      <c r="M499" t="s">
        <v>250</v>
      </c>
    </row>
    <row r="500" spans="1:13" x14ac:dyDescent="0.3">
      <c r="A500" t="s">
        <v>574</v>
      </c>
      <c r="B500" s="4">
        <v>40889</v>
      </c>
      <c r="C500">
        <v>2011</v>
      </c>
      <c r="D500">
        <v>12</v>
      </c>
      <c r="E500" t="s">
        <v>16</v>
      </c>
      <c r="F500" t="s">
        <v>58</v>
      </c>
      <c r="G500" t="s">
        <v>18</v>
      </c>
      <c r="H500" t="s">
        <v>59</v>
      </c>
      <c r="I500" t="s">
        <v>214</v>
      </c>
      <c r="J500">
        <v>70</v>
      </c>
      <c r="K500" t="b">
        <f>FALSE()</f>
        <v>0</v>
      </c>
      <c r="L500" t="s">
        <v>343</v>
      </c>
      <c r="M500" t="s">
        <v>250</v>
      </c>
    </row>
    <row r="501" spans="1:13" x14ac:dyDescent="0.3">
      <c r="A501" t="s">
        <v>575</v>
      </c>
      <c r="B501" s="4">
        <v>40889</v>
      </c>
      <c r="C501">
        <v>2011</v>
      </c>
      <c r="D501">
        <v>12</v>
      </c>
      <c r="E501" t="s">
        <v>16</v>
      </c>
      <c r="F501" t="s">
        <v>58</v>
      </c>
      <c r="G501" t="s">
        <v>18</v>
      </c>
      <c r="H501" t="s">
        <v>59</v>
      </c>
      <c r="I501" t="s">
        <v>214</v>
      </c>
      <c r="J501">
        <v>70</v>
      </c>
      <c r="K501" t="b">
        <f>FALSE()</f>
        <v>0</v>
      </c>
      <c r="L501" t="s">
        <v>343</v>
      </c>
      <c r="M501" t="s">
        <v>250</v>
      </c>
    </row>
    <row r="502" spans="1:13" x14ac:dyDescent="0.3">
      <c r="A502" t="s">
        <v>576</v>
      </c>
      <c r="B502" s="4">
        <v>40913</v>
      </c>
      <c r="C502">
        <v>2012</v>
      </c>
      <c r="D502">
        <v>1</v>
      </c>
      <c r="E502" t="s">
        <v>16</v>
      </c>
      <c r="F502" t="s">
        <v>458</v>
      </c>
      <c r="G502" t="s">
        <v>119</v>
      </c>
      <c r="H502" t="s">
        <v>27</v>
      </c>
      <c r="I502" t="s">
        <v>577</v>
      </c>
      <c r="J502">
        <v>62</v>
      </c>
      <c r="K502" t="b">
        <f>FALSE()</f>
        <v>0</v>
      </c>
      <c r="L502" t="s">
        <v>29</v>
      </c>
      <c r="M502" t="s">
        <v>250</v>
      </c>
    </row>
    <row r="503" spans="1:13" x14ac:dyDescent="0.3">
      <c r="A503" t="s">
        <v>578</v>
      </c>
      <c r="B503" s="4">
        <v>40923</v>
      </c>
      <c r="C503">
        <v>2012</v>
      </c>
      <c r="D503">
        <v>1</v>
      </c>
      <c r="E503" t="s">
        <v>16</v>
      </c>
      <c r="F503" t="s">
        <v>118</v>
      </c>
      <c r="G503" t="s">
        <v>119</v>
      </c>
      <c r="H503" t="s">
        <v>120</v>
      </c>
      <c r="I503" t="s">
        <v>374</v>
      </c>
      <c r="J503">
        <v>178</v>
      </c>
      <c r="K503" t="b">
        <f>FALSE()</f>
        <v>0</v>
      </c>
      <c r="L503" t="s">
        <v>122</v>
      </c>
      <c r="M503" t="s">
        <v>250</v>
      </c>
    </row>
    <row r="504" spans="1:13" x14ac:dyDescent="0.3">
      <c r="A504" t="s">
        <v>579</v>
      </c>
      <c r="B504" s="4">
        <v>40949</v>
      </c>
      <c r="C504">
        <v>2012</v>
      </c>
      <c r="D504">
        <v>2</v>
      </c>
      <c r="E504" t="s">
        <v>16</v>
      </c>
      <c r="F504" t="s">
        <v>235</v>
      </c>
      <c r="G504" t="s">
        <v>18</v>
      </c>
      <c r="H504" t="s">
        <v>19</v>
      </c>
      <c r="I504" t="s">
        <v>45</v>
      </c>
      <c r="J504">
        <v>50</v>
      </c>
      <c r="K504" t="b">
        <f>FALSE()</f>
        <v>0</v>
      </c>
      <c r="L504" t="s">
        <v>21</v>
      </c>
      <c r="M504" t="s">
        <v>250</v>
      </c>
    </row>
    <row r="505" spans="1:13" x14ac:dyDescent="0.3">
      <c r="A505" t="s">
        <v>580</v>
      </c>
      <c r="B505" s="4">
        <v>40951</v>
      </c>
      <c r="C505">
        <v>2012</v>
      </c>
      <c r="D505">
        <v>2</v>
      </c>
      <c r="E505" t="s">
        <v>16</v>
      </c>
      <c r="F505" t="s">
        <v>58</v>
      </c>
      <c r="G505" t="s">
        <v>18</v>
      </c>
      <c r="H505" t="s">
        <v>59</v>
      </c>
      <c r="I505" t="s">
        <v>214</v>
      </c>
      <c r="J505">
        <v>70</v>
      </c>
      <c r="K505" t="b">
        <f>FALSE()</f>
        <v>0</v>
      </c>
      <c r="L505" t="s">
        <v>343</v>
      </c>
      <c r="M505" t="s">
        <v>250</v>
      </c>
    </row>
    <row r="506" spans="1:13" x14ac:dyDescent="0.3">
      <c r="A506" t="s">
        <v>581</v>
      </c>
      <c r="B506" s="4">
        <v>40954</v>
      </c>
      <c r="C506">
        <v>2012</v>
      </c>
      <c r="D506">
        <v>2</v>
      </c>
      <c r="E506" t="s">
        <v>16</v>
      </c>
      <c r="F506" t="s">
        <v>235</v>
      </c>
      <c r="G506" t="s">
        <v>18</v>
      </c>
      <c r="H506" t="s">
        <v>19</v>
      </c>
      <c r="I506" t="s">
        <v>45</v>
      </c>
      <c r="J506">
        <v>50</v>
      </c>
      <c r="K506" t="b">
        <f>FALSE()</f>
        <v>0</v>
      </c>
      <c r="L506" t="s">
        <v>21</v>
      </c>
      <c r="M506" t="s">
        <v>250</v>
      </c>
    </row>
    <row r="507" spans="1:13" x14ac:dyDescent="0.3">
      <c r="A507" t="s">
        <v>582</v>
      </c>
      <c r="B507" s="4">
        <v>40954</v>
      </c>
      <c r="C507">
        <v>2012</v>
      </c>
      <c r="D507">
        <v>2</v>
      </c>
      <c r="E507" t="s">
        <v>16</v>
      </c>
      <c r="F507" t="s">
        <v>235</v>
      </c>
      <c r="G507" t="s">
        <v>18</v>
      </c>
      <c r="H507" t="s">
        <v>19</v>
      </c>
      <c r="I507" t="s">
        <v>45</v>
      </c>
      <c r="J507">
        <v>50</v>
      </c>
      <c r="K507" t="b">
        <f>FALSE()</f>
        <v>0</v>
      </c>
      <c r="L507" t="s">
        <v>21</v>
      </c>
      <c r="M507" t="s">
        <v>250</v>
      </c>
    </row>
    <row r="508" spans="1:13" x14ac:dyDescent="0.3">
      <c r="A508" t="s">
        <v>583</v>
      </c>
      <c r="B508" s="4">
        <v>40959</v>
      </c>
      <c r="C508">
        <v>2012</v>
      </c>
      <c r="D508">
        <v>2</v>
      </c>
      <c r="E508" t="s">
        <v>16</v>
      </c>
      <c r="F508" t="s">
        <v>130</v>
      </c>
      <c r="G508" t="s">
        <v>18</v>
      </c>
      <c r="H508" t="s">
        <v>131</v>
      </c>
      <c r="I508" t="s">
        <v>248</v>
      </c>
      <c r="J508">
        <v>28</v>
      </c>
      <c r="K508" t="b">
        <f>FALSE()</f>
        <v>0</v>
      </c>
      <c r="L508" t="s">
        <v>249</v>
      </c>
      <c r="M508" t="s">
        <v>250</v>
      </c>
    </row>
    <row r="509" spans="1:13" x14ac:dyDescent="0.3">
      <c r="A509" t="s">
        <v>584</v>
      </c>
      <c r="B509" s="4">
        <v>40983</v>
      </c>
      <c r="C509">
        <v>2012</v>
      </c>
      <c r="D509">
        <v>3</v>
      </c>
      <c r="E509" t="s">
        <v>16</v>
      </c>
      <c r="F509" t="s">
        <v>41</v>
      </c>
      <c r="G509" t="s">
        <v>18</v>
      </c>
      <c r="H509" t="s">
        <v>27</v>
      </c>
      <c r="I509" t="s">
        <v>533</v>
      </c>
      <c r="J509">
        <v>110</v>
      </c>
      <c r="K509" t="b">
        <f>FALSE()</f>
        <v>0</v>
      </c>
      <c r="L509" t="s">
        <v>29</v>
      </c>
      <c r="M509" t="s">
        <v>250</v>
      </c>
    </row>
    <row r="510" spans="1:13" x14ac:dyDescent="0.3">
      <c r="A510" t="s">
        <v>585</v>
      </c>
      <c r="B510" s="4">
        <v>40983</v>
      </c>
      <c r="C510">
        <v>2012</v>
      </c>
      <c r="D510">
        <v>3</v>
      </c>
      <c r="E510" t="s">
        <v>16</v>
      </c>
      <c r="F510" t="s">
        <v>118</v>
      </c>
      <c r="G510" t="s">
        <v>119</v>
      </c>
      <c r="H510" t="s">
        <v>120</v>
      </c>
      <c r="I510" t="s">
        <v>374</v>
      </c>
      <c r="J510">
        <v>178</v>
      </c>
      <c r="K510" t="b">
        <f>FALSE()</f>
        <v>0</v>
      </c>
      <c r="L510" t="s">
        <v>122</v>
      </c>
      <c r="M510" t="s">
        <v>250</v>
      </c>
    </row>
    <row r="511" spans="1:13" x14ac:dyDescent="0.3">
      <c r="A511" t="s">
        <v>586</v>
      </c>
      <c r="B511" s="4">
        <v>41004</v>
      </c>
      <c r="C511">
        <v>2012</v>
      </c>
      <c r="D511">
        <v>4</v>
      </c>
      <c r="E511" t="s">
        <v>16</v>
      </c>
      <c r="F511" t="s">
        <v>458</v>
      </c>
      <c r="G511" t="s">
        <v>119</v>
      </c>
      <c r="H511" t="s">
        <v>27</v>
      </c>
      <c r="I511" t="s">
        <v>577</v>
      </c>
      <c r="J511">
        <v>62</v>
      </c>
      <c r="K511" t="b">
        <f>FALSE()</f>
        <v>0</v>
      </c>
      <c r="L511" t="s">
        <v>29</v>
      </c>
      <c r="M511" t="s">
        <v>250</v>
      </c>
    </row>
    <row r="512" spans="1:13" x14ac:dyDescent="0.3">
      <c r="A512" t="s">
        <v>587</v>
      </c>
      <c r="B512" s="4">
        <v>41041</v>
      </c>
      <c r="C512">
        <v>2012</v>
      </c>
      <c r="D512">
        <v>5</v>
      </c>
      <c r="E512" t="s">
        <v>16</v>
      </c>
      <c r="F512" t="s">
        <v>58</v>
      </c>
      <c r="G512" t="s">
        <v>18</v>
      </c>
      <c r="H512" t="s">
        <v>59</v>
      </c>
      <c r="I512" t="s">
        <v>214</v>
      </c>
      <c r="J512">
        <v>70</v>
      </c>
      <c r="K512" t="b">
        <f>FALSE()</f>
        <v>0</v>
      </c>
      <c r="L512" t="s">
        <v>343</v>
      </c>
      <c r="M512" t="s">
        <v>250</v>
      </c>
    </row>
    <row r="513" spans="1:13" x14ac:dyDescent="0.3">
      <c r="A513" t="s">
        <v>588</v>
      </c>
      <c r="B513" s="4">
        <v>41044</v>
      </c>
      <c r="C513">
        <v>2012</v>
      </c>
      <c r="D513">
        <v>5</v>
      </c>
      <c r="E513" t="s">
        <v>16</v>
      </c>
      <c r="F513" t="s">
        <v>118</v>
      </c>
      <c r="G513" t="s">
        <v>119</v>
      </c>
      <c r="H513" t="s">
        <v>120</v>
      </c>
      <c r="I513" t="s">
        <v>374</v>
      </c>
      <c r="J513">
        <v>178</v>
      </c>
      <c r="K513" t="b">
        <f>FALSE()</f>
        <v>0</v>
      </c>
      <c r="L513" t="s">
        <v>122</v>
      </c>
      <c r="M513" t="s">
        <v>250</v>
      </c>
    </row>
    <row r="514" spans="1:13" x14ac:dyDescent="0.3">
      <c r="A514" t="s">
        <v>589</v>
      </c>
      <c r="B514" s="4">
        <v>41044</v>
      </c>
      <c r="C514">
        <v>2012</v>
      </c>
      <c r="D514">
        <v>5</v>
      </c>
      <c r="E514" t="s">
        <v>16</v>
      </c>
      <c r="F514" t="s">
        <v>235</v>
      </c>
      <c r="G514" t="s">
        <v>18</v>
      </c>
      <c r="H514" t="s">
        <v>19</v>
      </c>
      <c r="I514" t="s">
        <v>45</v>
      </c>
      <c r="J514">
        <v>50</v>
      </c>
      <c r="K514" t="b">
        <f>FALSE()</f>
        <v>0</v>
      </c>
      <c r="L514" t="s">
        <v>21</v>
      </c>
      <c r="M514" t="s">
        <v>250</v>
      </c>
    </row>
    <row r="515" spans="1:13" x14ac:dyDescent="0.3">
      <c r="A515" t="s">
        <v>590</v>
      </c>
      <c r="B515" s="4">
        <v>41051</v>
      </c>
      <c r="C515">
        <v>2012</v>
      </c>
      <c r="D515">
        <v>5</v>
      </c>
      <c r="E515" t="s">
        <v>16</v>
      </c>
      <c r="F515" t="s">
        <v>458</v>
      </c>
      <c r="G515" t="s">
        <v>119</v>
      </c>
      <c r="H515" t="s">
        <v>27</v>
      </c>
      <c r="I515" t="s">
        <v>539</v>
      </c>
      <c r="J515">
        <v>62</v>
      </c>
      <c r="K515" t="b">
        <f>TRUE()</f>
        <v>1</v>
      </c>
      <c r="L515" t="s">
        <v>29</v>
      </c>
      <c r="M515" t="s">
        <v>22</v>
      </c>
    </row>
    <row r="516" spans="1:13" x14ac:dyDescent="0.3">
      <c r="A516" t="s">
        <v>591</v>
      </c>
      <c r="B516" s="4">
        <v>41070</v>
      </c>
      <c r="C516">
        <v>2012</v>
      </c>
      <c r="D516">
        <v>6</v>
      </c>
      <c r="E516" t="s">
        <v>16</v>
      </c>
      <c r="F516" t="s">
        <v>235</v>
      </c>
      <c r="G516" t="s">
        <v>18</v>
      </c>
      <c r="H516" t="s">
        <v>19</v>
      </c>
      <c r="I516" t="s">
        <v>45</v>
      </c>
      <c r="J516">
        <v>50</v>
      </c>
      <c r="K516" t="b">
        <f>FALSE()</f>
        <v>0</v>
      </c>
      <c r="L516" t="s">
        <v>21</v>
      </c>
      <c r="M516" t="s">
        <v>250</v>
      </c>
    </row>
    <row r="517" spans="1:13" x14ac:dyDescent="0.3">
      <c r="A517" t="s">
        <v>592</v>
      </c>
      <c r="B517" s="4">
        <v>41105</v>
      </c>
      <c r="C517">
        <v>2012</v>
      </c>
      <c r="D517">
        <v>7</v>
      </c>
      <c r="E517" t="s">
        <v>16</v>
      </c>
      <c r="F517" t="s">
        <v>118</v>
      </c>
      <c r="G517" t="s">
        <v>119</v>
      </c>
      <c r="H517" t="s">
        <v>120</v>
      </c>
      <c r="I517" t="s">
        <v>374</v>
      </c>
      <c r="J517">
        <v>178</v>
      </c>
      <c r="K517" t="b">
        <f>FALSE()</f>
        <v>0</v>
      </c>
      <c r="L517" t="s">
        <v>122</v>
      </c>
      <c r="M517" t="s">
        <v>250</v>
      </c>
    </row>
    <row r="518" spans="1:13" x14ac:dyDescent="0.3">
      <c r="A518" t="s">
        <v>593</v>
      </c>
      <c r="B518" s="4">
        <v>41133</v>
      </c>
      <c r="C518">
        <v>2012</v>
      </c>
      <c r="D518">
        <v>8</v>
      </c>
      <c r="E518" t="s">
        <v>16</v>
      </c>
      <c r="F518" t="s">
        <v>58</v>
      </c>
      <c r="G518" t="s">
        <v>18</v>
      </c>
      <c r="H518" t="s">
        <v>59</v>
      </c>
      <c r="I518" t="s">
        <v>214</v>
      </c>
      <c r="J518">
        <v>70</v>
      </c>
      <c r="K518" t="b">
        <f>FALSE()</f>
        <v>0</v>
      </c>
      <c r="L518" t="s">
        <v>343</v>
      </c>
      <c r="M518" t="s">
        <v>250</v>
      </c>
    </row>
    <row r="519" spans="1:13" x14ac:dyDescent="0.3">
      <c r="A519" t="s">
        <v>594</v>
      </c>
      <c r="B519" s="4">
        <v>41136</v>
      </c>
      <c r="C519">
        <v>2012</v>
      </c>
      <c r="D519">
        <v>8</v>
      </c>
      <c r="E519" t="s">
        <v>16</v>
      </c>
      <c r="F519" t="s">
        <v>235</v>
      </c>
      <c r="G519" t="s">
        <v>18</v>
      </c>
      <c r="H519" t="s">
        <v>19</v>
      </c>
      <c r="I519" t="s">
        <v>45</v>
      </c>
      <c r="J519">
        <v>50</v>
      </c>
      <c r="K519" t="b">
        <f>FALSE()</f>
        <v>0</v>
      </c>
      <c r="L519" t="s">
        <v>21</v>
      </c>
      <c r="M519" t="s">
        <v>250</v>
      </c>
    </row>
    <row r="520" spans="1:13" x14ac:dyDescent="0.3">
      <c r="A520" t="s">
        <v>595</v>
      </c>
      <c r="B520" s="4">
        <v>41141</v>
      </c>
      <c r="C520">
        <v>2012</v>
      </c>
      <c r="D520">
        <v>8</v>
      </c>
      <c r="E520" t="s">
        <v>16</v>
      </c>
      <c r="F520" t="s">
        <v>130</v>
      </c>
      <c r="G520" t="s">
        <v>18</v>
      </c>
      <c r="H520" t="s">
        <v>131</v>
      </c>
      <c r="I520" t="s">
        <v>248</v>
      </c>
      <c r="J520">
        <v>28</v>
      </c>
      <c r="K520" t="b">
        <f>FALSE()</f>
        <v>0</v>
      </c>
      <c r="L520" t="s">
        <v>249</v>
      </c>
      <c r="M520" t="s">
        <v>250</v>
      </c>
    </row>
    <row r="521" spans="1:13" x14ac:dyDescent="0.3">
      <c r="A521" t="s">
        <v>596</v>
      </c>
      <c r="B521" s="4">
        <v>41167</v>
      </c>
      <c r="C521">
        <v>2012</v>
      </c>
      <c r="D521">
        <v>9</v>
      </c>
      <c r="E521" t="s">
        <v>16</v>
      </c>
      <c r="F521" t="s">
        <v>41</v>
      </c>
      <c r="G521" t="s">
        <v>18</v>
      </c>
      <c r="H521" t="s">
        <v>27</v>
      </c>
      <c r="I521" t="s">
        <v>533</v>
      </c>
      <c r="J521">
        <v>110</v>
      </c>
      <c r="K521" t="b">
        <f>FALSE()</f>
        <v>0</v>
      </c>
      <c r="L521" t="s">
        <v>29</v>
      </c>
      <c r="M521" t="s">
        <v>250</v>
      </c>
    </row>
    <row r="522" spans="1:13" x14ac:dyDescent="0.3">
      <c r="A522" t="s">
        <v>597</v>
      </c>
      <c r="B522" s="4">
        <v>41192</v>
      </c>
      <c r="C522">
        <v>2012</v>
      </c>
      <c r="D522">
        <v>10</v>
      </c>
      <c r="E522" t="s">
        <v>16</v>
      </c>
      <c r="F522" t="s">
        <v>235</v>
      </c>
      <c r="G522" t="s">
        <v>18</v>
      </c>
      <c r="H522" t="s">
        <v>19</v>
      </c>
      <c r="I522" t="s">
        <v>45</v>
      </c>
      <c r="J522">
        <v>50</v>
      </c>
      <c r="K522" t="b">
        <f>FALSE()</f>
        <v>0</v>
      </c>
      <c r="L522" t="s">
        <v>21</v>
      </c>
      <c r="M522" t="s">
        <v>250</v>
      </c>
    </row>
    <row r="523" spans="1:13" x14ac:dyDescent="0.3">
      <c r="A523" t="s">
        <v>598</v>
      </c>
      <c r="B523" s="4">
        <v>41225</v>
      </c>
      <c r="C523">
        <v>2012</v>
      </c>
      <c r="D523">
        <v>11</v>
      </c>
      <c r="E523" t="s">
        <v>16</v>
      </c>
      <c r="F523" t="s">
        <v>58</v>
      </c>
      <c r="G523" t="s">
        <v>18</v>
      </c>
      <c r="H523" t="s">
        <v>59</v>
      </c>
      <c r="I523" t="s">
        <v>214</v>
      </c>
      <c r="J523">
        <v>70</v>
      </c>
      <c r="K523" t="b">
        <f>FALSE()</f>
        <v>0</v>
      </c>
      <c r="L523" t="s">
        <v>343</v>
      </c>
      <c r="M523" t="s">
        <v>250</v>
      </c>
    </row>
    <row r="524" spans="1:13" x14ac:dyDescent="0.3">
      <c r="A524" t="s">
        <v>599</v>
      </c>
      <c r="B524" s="4">
        <v>41228</v>
      </c>
      <c r="C524">
        <v>2012</v>
      </c>
      <c r="D524">
        <v>11</v>
      </c>
      <c r="E524" t="s">
        <v>16</v>
      </c>
      <c r="F524" t="s">
        <v>235</v>
      </c>
      <c r="G524" t="s">
        <v>18</v>
      </c>
      <c r="H524" t="s">
        <v>19</v>
      </c>
      <c r="I524" t="s">
        <v>45</v>
      </c>
      <c r="J524">
        <v>50</v>
      </c>
      <c r="K524" t="b">
        <f>FALSE()</f>
        <v>0</v>
      </c>
      <c r="L524" t="s">
        <v>21</v>
      </c>
      <c r="M524" t="s">
        <v>250</v>
      </c>
    </row>
    <row r="525" spans="1:13" x14ac:dyDescent="0.3">
      <c r="A525" t="s">
        <v>600</v>
      </c>
      <c r="B525" s="4">
        <v>41255</v>
      </c>
      <c r="C525">
        <v>2012</v>
      </c>
      <c r="D525">
        <v>12</v>
      </c>
      <c r="E525" t="s">
        <v>16</v>
      </c>
      <c r="F525" t="s">
        <v>58</v>
      </c>
      <c r="G525" t="s">
        <v>18</v>
      </c>
      <c r="H525" t="s">
        <v>59</v>
      </c>
      <c r="I525" t="s">
        <v>214</v>
      </c>
      <c r="J525">
        <v>70</v>
      </c>
      <c r="K525" t="b">
        <f>FALSE()</f>
        <v>0</v>
      </c>
      <c r="L525" t="s">
        <v>343</v>
      </c>
      <c r="M525" t="s">
        <v>250</v>
      </c>
    </row>
    <row r="526" spans="1:13" x14ac:dyDescent="0.3">
      <c r="A526" t="s">
        <v>601</v>
      </c>
      <c r="B526" s="4">
        <v>41255</v>
      </c>
      <c r="C526">
        <v>2012</v>
      </c>
      <c r="D526">
        <v>12</v>
      </c>
      <c r="E526" t="s">
        <v>16</v>
      </c>
      <c r="F526" t="s">
        <v>58</v>
      </c>
      <c r="G526" t="s">
        <v>18</v>
      </c>
      <c r="H526" t="s">
        <v>59</v>
      </c>
      <c r="I526" t="s">
        <v>214</v>
      </c>
      <c r="J526">
        <v>70</v>
      </c>
      <c r="K526" t="b">
        <f>FALSE()</f>
        <v>0</v>
      </c>
      <c r="L526" t="s">
        <v>343</v>
      </c>
      <c r="M526" t="s">
        <v>250</v>
      </c>
    </row>
    <row r="527" spans="1:13" x14ac:dyDescent="0.3">
      <c r="A527" t="s">
        <v>602</v>
      </c>
      <c r="B527" s="4">
        <v>41279</v>
      </c>
      <c r="C527">
        <v>2013</v>
      </c>
      <c r="D527">
        <v>1</v>
      </c>
      <c r="E527" t="s">
        <v>16</v>
      </c>
      <c r="F527" t="s">
        <v>458</v>
      </c>
      <c r="G527" t="s">
        <v>119</v>
      </c>
      <c r="H527" t="s">
        <v>27</v>
      </c>
      <c r="I527" t="s">
        <v>577</v>
      </c>
      <c r="J527">
        <v>62</v>
      </c>
      <c r="K527" t="b">
        <f>FALSE()</f>
        <v>0</v>
      </c>
      <c r="L527" t="s">
        <v>29</v>
      </c>
      <c r="M527" t="s">
        <v>250</v>
      </c>
    </row>
    <row r="528" spans="1:13" x14ac:dyDescent="0.3">
      <c r="A528" t="s">
        <v>603</v>
      </c>
      <c r="B528" s="4">
        <v>41289</v>
      </c>
      <c r="C528">
        <v>2013</v>
      </c>
      <c r="D528">
        <v>1</v>
      </c>
      <c r="E528" t="s">
        <v>16</v>
      </c>
      <c r="F528" t="s">
        <v>118</v>
      </c>
      <c r="G528" t="s">
        <v>119</v>
      </c>
      <c r="H528" t="s">
        <v>120</v>
      </c>
      <c r="I528" t="s">
        <v>374</v>
      </c>
      <c r="J528">
        <v>178</v>
      </c>
      <c r="K528" t="b">
        <f>FALSE()</f>
        <v>0</v>
      </c>
      <c r="L528" t="s">
        <v>122</v>
      </c>
      <c r="M528" t="s">
        <v>250</v>
      </c>
    </row>
    <row r="529" spans="1:13" x14ac:dyDescent="0.3">
      <c r="A529" t="s">
        <v>604</v>
      </c>
      <c r="B529" s="4">
        <v>41315</v>
      </c>
      <c r="C529">
        <v>2013</v>
      </c>
      <c r="D529">
        <v>2</v>
      </c>
      <c r="E529" t="s">
        <v>16</v>
      </c>
      <c r="F529" t="s">
        <v>235</v>
      </c>
      <c r="G529" t="s">
        <v>18</v>
      </c>
      <c r="H529" t="s">
        <v>19</v>
      </c>
      <c r="I529" t="s">
        <v>45</v>
      </c>
      <c r="J529">
        <v>50</v>
      </c>
      <c r="K529" t="b">
        <f>FALSE()</f>
        <v>0</v>
      </c>
      <c r="L529" t="s">
        <v>21</v>
      </c>
      <c r="M529" t="s">
        <v>250</v>
      </c>
    </row>
    <row r="530" spans="1:13" x14ac:dyDescent="0.3">
      <c r="A530" t="s">
        <v>605</v>
      </c>
      <c r="B530" s="4">
        <v>41317</v>
      </c>
      <c r="C530">
        <v>2013</v>
      </c>
      <c r="D530">
        <v>2</v>
      </c>
      <c r="E530" t="s">
        <v>16</v>
      </c>
      <c r="F530" t="s">
        <v>58</v>
      </c>
      <c r="G530" t="s">
        <v>18</v>
      </c>
      <c r="H530" t="s">
        <v>59</v>
      </c>
      <c r="I530" t="s">
        <v>214</v>
      </c>
      <c r="J530">
        <v>70</v>
      </c>
      <c r="K530" t="b">
        <f>FALSE()</f>
        <v>0</v>
      </c>
      <c r="L530" t="s">
        <v>343</v>
      </c>
      <c r="M530" t="s">
        <v>250</v>
      </c>
    </row>
    <row r="531" spans="1:13" x14ac:dyDescent="0.3">
      <c r="A531" t="s">
        <v>606</v>
      </c>
      <c r="B531" s="4">
        <v>41320</v>
      </c>
      <c r="C531">
        <v>2013</v>
      </c>
      <c r="D531">
        <v>2</v>
      </c>
      <c r="E531" t="s">
        <v>16</v>
      </c>
      <c r="F531" t="s">
        <v>235</v>
      </c>
      <c r="G531" t="s">
        <v>18</v>
      </c>
      <c r="H531" t="s">
        <v>19</v>
      </c>
      <c r="I531" t="s">
        <v>45</v>
      </c>
      <c r="J531">
        <v>50</v>
      </c>
      <c r="K531" t="b">
        <f>FALSE()</f>
        <v>0</v>
      </c>
      <c r="L531" t="s">
        <v>21</v>
      </c>
      <c r="M531" t="s">
        <v>250</v>
      </c>
    </row>
    <row r="532" spans="1:13" x14ac:dyDescent="0.3">
      <c r="A532" t="s">
        <v>607</v>
      </c>
      <c r="B532" s="4">
        <v>41320</v>
      </c>
      <c r="C532">
        <v>2013</v>
      </c>
      <c r="D532">
        <v>2</v>
      </c>
      <c r="E532" t="s">
        <v>16</v>
      </c>
      <c r="F532" t="s">
        <v>235</v>
      </c>
      <c r="G532" t="s">
        <v>18</v>
      </c>
      <c r="H532" t="s">
        <v>19</v>
      </c>
      <c r="I532" t="s">
        <v>45</v>
      </c>
      <c r="J532">
        <v>50</v>
      </c>
      <c r="K532" t="b">
        <f>FALSE()</f>
        <v>0</v>
      </c>
      <c r="L532" t="s">
        <v>21</v>
      </c>
      <c r="M532" t="s">
        <v>250</v>
      </c>
    </row>
    <row r="533" spans="1:13" x14ac:dyDescent="0.3">
      <c r="A533" t="s">
        <v>608</v>
      </c>
      <c r="B533" s="4">
        <v>41325</v>
      </c>
      <c r="C533">
        <v>2013</v>
      </c>
      <c r="D533">
        <v>2</v>
      </c>
      <c r="E533" t="s">
        <v>16</v>
      </c>
      <c r="F533" t="s">
        <v>130</v>
      </c>
      <c r="G533" t="s">
        <v>18</v>
      </c>
      <c r="H533" t="s">
        <v>131</v>
      </c>
      <c r="I533" t="s">
        <v>248</v>
      </c>
      <c r="J533">
        <v>28</v>
      </c>
      <c r="K533" t="b">
        <f>FALSE()</f>
        <v>0</v>
      </c>
      <c r="L533" t="s">
        <v>249</v>
      </c>
      <c r="M533" t="s">
        <v>250</v>
      </c>
    </row>
    <row r="534" spans="1:13" x14ac:dyDescent="0.3">
      <c r="A534" t="s">
        <v>609</v>
      </c>
      <c r="B534" s="4">
        <v>41348</v>
      </c>
      <c r="C534">
        <v>2013</v>
      </c>
      <c r="D534">
        <v>3</v>
      </c>
      <c r="E534" t="s">
        <v>16</v>
      </c>
      <c r="F534" t="s">
        <v>118</v>
      </c>
      <c r="G534" t="s">
        <v>119</v>
      </c>
      <c r="H534" t="s">
        <v>120</v>
      </c>
      <c r="I534" t="s">
        <v>374</v>
      </c>
      <c r="J534">
        <v>178</v>
      </c>
      <c r="K534" t="b">
        <f>FALSE()</f>
        <v>0</v>
      </c>
      <c r="L534" t="s">
        <v>122</v>
      </c>
      <c r="M534" t="s">
        <v>250</v>
      </c>
    </row>
    <row r="535" spans="1:13" x14ac:dyDescent="0.3">
      <c r="A535" t="s">
        <v>610</v>
      </c>
      <c r="B535" s="4">
        <v>41348</v>
      </c>
      <c r="C535">
        <v>2013</v>
      </c>
      <c r="D535">
        <v>3</v>
      </c>
      <c r="E535" t="s">
        <v>16</v>
      </c>
      <c r="F535" t="s">
        <v>41</v>
      </c>
      <c r="G535" t="s">
        <v>18</v>
      </c>
      <c r="H535" t="s">
        <v>27</v>
      </c>
      <c r="I535" t="s">
        <v>533</v>
      </c>
      <c r="J535">
        <v>110</v>
      </c>
      <c r="K535" t="b">
        <f>FALSE()</f>
        <v>0</v>
      </c>
      <c r="L535" t="s">
        <v>29</v>
      </c>
      <c r="M535" t="s">
        <v>250</v>
      </c>
    </row>
    <row r="536" spans="1:13" x14ac:dyDescent="0.3">
      <c r="A536" t="s">
        <v>611</v>
      </c>
      <c r="B536" s="4">
        <v>41369</v>
      </c>
      <c r="C536">
        <v>2013</v>
      </c>
      <c r="D536">
        <v>4</v>
      </c>
      <c r="E536" t="s">
        <v>16</v>
      </c>
      <c r="F536" t="s">
        <v>458</v>
      </c>
      <c r="G536" t="s">
        <v>119</v>
      </c>
      <c r="H536" t="s">
        <v>27</v>
      </c>
      <c r="I536" t="s">
        <v>577</v>
      </c>
      <c r="J536">
        <v>62</v>
      </c>
      <c r="K536" t="b">
        <f>FALSE()</f>
        <v>0</v>
      </c>
      <c r="L536" t="s">
        <v>29</v>
      </c>
      <c r="M536" t="s">
        <v>250</v>
      </c>
    </row>
    <row r="537" spans="1:13" x14ac:dyDescent="0.3">
      <c r="A537" t="s">
        <v>612</v>
      </c>
      <c r="B537" s="4">
        <v>41406</v>
      </c>
      <c r="C537">
        <v>2013</v>
      </c>
      <c r="D537">
        <v>5</v>
      </c>
      <c r="E537" t="s">
        <v>16</v>
      </c>
      <c r="F537" t="s">
        <v>58</v>
      </c>
      <c r="G537" t="s">
        <v>18</v>
      </c>
      <c r="H537" t="s">
        <v>59</v>
      </c>
      <c r="I537" t="s">
        <v>214</v>
      </c>
      <c r="J537">
        <v>70</v>
      </c>
      <c r="K537" t="b">
        <f>FALSE()</f>
        <v>0</v>
      </c>
      <c r="L537" t="s">
        <v>343</v>
      </c>
      <c r="M537" t="s">
        <v>250</v>
      </c>
    </row>
    <row r="538" spans="1:13" x14ac:dyDescent="0.3">
      <c r="A538" t="s">
        <v>613</v>
      </c>
      <c r="B538" s="4">
        <v>41409</v>
      </c>
      <c r="C538">
        <v>2013</v>
      </c>
      <c r="D538">
        <v>5</v>
      </c>
      <c r="E538" t="s">
        <v>16</v>
      </c>
      <c r="F538" t="s">
        <v>235</v>
      </c>
      <c r="G538" t="s">
        <v>18</v>
      </c>
      <c r="H538" t="s">
        <v>19</v>
      </c>
      <c r="I538" t="s">
        <v>45</v>
      </c>
      <c r="J538">
        <v>50</v>
      </c>
      <c r="K538" t="b">
        <f>FALSE()</f>
        <v>0</v>
      </c>
      <c r="L538" t="s">
        <v>21</v>
      </c>
      <c r="M538" t="s">
        <v>250</v>
      </c>
    </row>
    <row r="539" spans="1:13" x14ac:dyDescent="0.3">
      <c r="A539" t="s">
        <v>614</v>
      </c>
      <c r="B539" s="4">
        <v>41409</v>
      </c>
      <c r="C539">
        <v>2013</v>
      </c>
      <c r="D539">
        <v>5</v>
      </c>
      <c r="E539" t="s">
        <v>16</v>
      </c>
      <c r="F539" t="s">
        <v>118</v>
      </c>
      <c r="G539" t="s">
        <v>119</v>
      </c>
      <c r="H539" t="s">
        <v>120</v>
      </c>
      <c r="I539" t="s">
        <v>374</v>
      </c>
      <c r="J539">
        <v>178</v>
      </c>
      <c r="K539" t="b">
        <f>FALSE()</f>
        <v>0</v>
      </c>
      <c r="L539" t="s">
        <v>122</v>
      </c>
      <c r="M539" t="s">
        <v>250</v>
      </c>
    </row>
    <row r="540" spans="1:13" x14ac:dyDescent="0.3">
      <c r="A540" t="s">
        <v>615</v>
      </c>
      <c r="B540" s="4">
        <v>41435</v>
      </c>
      <c r="C540">
        <v>2013</v>
      </c>
      <c r="D540">
        <v>6</v>
      </c>
      <c r="E540" t="s">
        <v>16</v>
      </c>
      <c r="F540" t="s">
        <v>235</v>
      </c>
      <c r="G540" t="s">
        <v>18</v>
      </c>
      <c r="H540" t="s">
        <v>19</v>
      </c>
      <c r="I540" t="s">
        <v>45</v>
      </c>
      <c r="J540">
        <v>50</v>
      </c>
      <c r="K540" t="b">
        <f>FALSE()</f>
        <v>0</v>
      </c>
      <c r="L540" t="s">
        <v>21</v>
      </c>
      <c r="M540" t="s">
        <v>250</v>
      </c>
    </row>
    <row r="541" spans="1:13" x14ac:dyDescent="0.3">
      <c r="A541" t="s">
        <v>616</v>
      </c>
      <c r="B541" s="4">
        <v>41470</v>
      </c>
      <c r="C541">
        <v>2013</v>
      </c>
      <c r="D541">
        <v>7</v>
      </c>
      <c r="E541" t="s">
        <v>16</v>
      </c>
      <c r="F541" t="s">
        <v>118</v>
      </c>
      <c r="G541" t="s">
        <v>119</v>
      </c>
      <c r="H541" t="s">
        <v>120</v>
      </c>
      <c r="I541" t="s">
        <v>374</v>
      </c>
      <c r="J541">
        <v>178</v>
      </c>
      <c r="K541" t="b">
        <f>FALSE()</f>
        <v>0</v>
      </c>
      <c r="L541" t="s">
        <v>122</v>
      </c>
      <c r="M541" t="s">
        <v>250</v>
      </c>
    </row>
    <row r="542" spans="1:13" x14ac:dyDescent="0.3">
      <c r="A542" t="s">
        <v>617</v>
      </c>
      <c r="B542" s="4">
        <v>41498</v>
      </c>
      <c r="C542">
        <v>2013</v>
      </c>
      <c r="D542">
        <v>8</v>
      </c>
      <c r="E542" t="s">
        <v>16</v>
      </c>
      <c r="F542" t="s">
        <v>58</v>
      </c>
      <c r="G542" t="s">
        <v>18</v>
      </c>
      <c r="H542" t="s">
        <v>59</v>
      </c>
      <c r="I542" t="s">
        <v>214</v>
      </c>
      <c r="J542">
        <v>70</v>
      </c>
      <c r="K542" t="b">
        <f>FALSE()</f>
        <v>0</v>
      </c>
      <c r="L542" t="s">
        <v>343</v>
      </c>
      <c r="M542" t="s">
        <v>250</v>
      </c>
    </row>
    <row r="543" spans="1:13" x14ac:dyDescent="0.3">
      <c r="A543" t="s">
        <v>618</v>
      </c>
      <c r="B543" s="4">
        <v>41501</v>
      </c>
      <c r="C543">
        <v>2013</v>
      </c>
      <c r="D543">
        <v>8</v>
      </c>
      <c r="E543" t="s">
        <v>16</v>
      </c>
      <c r="F543" t="s">
        <v>235</v>
      </c>
      <c r="G543" t="s">
        <v>18</v>
      </c>
      <c r="H543" t="s">
        <v>19</v>
      </c>
      <c r="I543" t="s">
        <v>45</v>
      </c>
      <c r="J543">
        <v>50</v>
      </c>
      <c r="K543" t="b">
        <f>FALSE()</f>
        <v>0</v>
      </c>
      <c r="L543" t="s">
        <v>21</v>
      </c>
      <c r="M543" t="s">
        <v>250</v>
      </c>
    </row>
    <row r="544" spans="1:13" x14ac:dyDescent="0.3">
      <c r="A544" t="s">
        <v>619</v>
      </c>
      <c r="B544" s="4">
        <v>41506</v>
      </c>
      <c r="C544">
        <v>2013</v>
      </c>
      <c r="D544">
        <v>8</v>
      </c>
      <c r="E544" t="s">
        <v>16</v>
      </c>
      <c r="F544" t="s">
        <v>130</v>
      </c>
      <c r="G544" t="s">
        <v>18</v>
      </c>
      <c r="H544" t="s">
        <v>131</v>
      </c>
      <c r="I544" t="s">
        <v>248</v>
      </c>
      <c r="J544">
        <v>28</v>
      </c>
      <c r="K544" t="b">
        <f>FALSE()</f>
        <v>0</v>
      </c>
      <c r="L544" t="s">
        <v>249</v>
      </c>
      <c r="M544" t="s">
        <v>250</v>
      </c>
    </row>
    <row r="545" spans="1:13" x14ac:dyDescent="0.3">
      <c r="A545" t="s">
        <v>620</v>
      </c>
      <c r="B545" s="4">
        <v>41532</v>
      </c>
      <c r="C545">
        <v>2013</v>
      </c>
      <c r="D545">
        <v>9</v>
      </c>
      <c r="E545" t="s">
        <v>16</v>
      </c>
      <c r="F545" t="s">
        <v>41</v>
      </c>
      <c r="G545" t="s">
        <v>18</v>
      </c>
      <c r="H545" t="s">
        <v>27</v>
      </c>
      <c r="I545" t="s">
        <v>533</v>
      </c>
      <c r="J545">
        <v>110</v>
      </c>
      <c r="K545" t="b">
        <f>FALSE()</f>
        <v>0</v>
      </c>
      <c r="L545" t="s">
        <v>29</v>
      </c>
      <c r="M545" t="s">
        <v>250</v>
      </c>
    </row>
    <row r="546" spans="1:13" x14ac:dyDescent="0.3">
      <c r="A546" t="s">
        <v>621</v>
      </c>
      <c r="B546" s="4">
        <v>41557</v>
      </c>
      <c r="C546">
        <v>2013</v>
      </c>
      <c r="D546">
        <v>10</v>
      </c>
      <c r="E546" t="s">
        <v>16</v>
      </c>
      <c r="F546" t="s">
        <v>235</v>
      </c>
      <c r="G546" t="s">
        <v>18</v>
      </c>
      <c r="H546" t="s">
        <v>19</v>
      </c>
      <c r="I546" t="s">
        <v>45</v>
      </c>
      <c r="J546">
        <v>50</v>
      </c>
      <c r="K546" t="b">
        <f>FALSE()</f>
        <v>0</v>
      </c>
      <c r="L546" t="s">
        <v>21</v>
      </c>
      <c r="M546" t="s">
        <v>250</v>
      </c>
    </row>
    <row r="547" spans="1:13" x14ac:dyDescent="0.3">
      <c r="A547" t="s">
        <v>622</v>
      </c>
      <c r="B547" s="4">
        <v>41583</v>
      </c>
      <c r="C547">
        <v>2013</v>
      </c>
      <c r="D547">
        <v>11</v>
      </c>
      <c r="E547" t="s">
        <v>16</v>
      </c>
      <c r="F547" t="s">
        <v>130</v>
      </c>
      <c r="G547" t="s">
        <v>18</v>
      </c>
      <c r="H547" t="s">
        <v>131</v>
      </c>
      <c r="I547" t="s">
        <v>507</v>
      </c>
      <c r="J547">
        <v>28</v>
      </c>
      <c r="K547" t="b">
        <f>FALSE()</f>
        <v>0</v>
      </c>
      <c r="L547" t="s">
        <v>249</v>
      </c>
      <c r="M547" t="s">
        <v>250</v>
      </c>
    </row>
    <row r="548" spans="1:13" x14ac:dyDescent="0.3">
      <c r="A548" t="s">
        <v>623</v>
      </c>
      <c r="B548" s="4">
        <v>41590</v>
      </c>
      <c r="C548">
        <v>2013</v>
      </c>
      <c r="D548">
        <v>11</v>
      </c>
      <c r="E548" t="s">
        <v>16</v>
      </c>
      <c r="F548" t="s">
        <v>58</v>
      </c>
      <c r="G548" t="s">
        <v>18</v>
      </c>
      <c r="H548" t="s">
        <v>59</v>
      </c>
      <c r="I548" t="s">
        <v>214</v>
      </c>
      <c r="J548">
        <v>70</v>
      </c>
      <c r="K548" t="b">
        <f>FALSE()</f>
        <v>0</v>
      </c>
      <c r="L548" t="s">
        <v>343</v>
      </c>
      <c r="M548" t="s">
        <v>250</v>
      </c>
    </row>
    <row r="549" spans="1:13" x14ac:dyDescent="0.3">
      <c r="A549" t="s">
        <v>624</v>
      </c>
      <c r="B549" s="4">
        <v>41593</v>
      </c>
      <c r="C549">
        <v>2013</v>
      </c>
      <c r="D549">
        <v>11</v>
      </c>
      <c r="E549" t="s">
        <v>16</v>
      </c>
      <c r="F549" t="s">
        <v>235</v>
      </c>
      <c r="G549" t="s">
        <v>18</v>
      </c>
      <c r="H549" t="s">
        <v>19</v>
      </c>
      <c r="I549" t="s">
        <v>45</v>
      </c>
      <c r="J549">
        <v>50</v>
      </c>
      <c r="K549" t="b">
        <f>FALSE()</f>
        <v>0</v>
      </c>
      <c r="L549" t="s">
        <v>21</v>
      </c>
      <c r="M549" t="s">
        <v>250</v>
      </c>
    </row>
    <row r="550" spans="1:13" x14ac:dyDescent="0.3">
      <c r="A550" t="s">
        <v>625</v>
      </c>
      <c r="B550" s="4">
        <v>41620</v>
      </c>
      <c r="C550">
        <v>2013</v>
      </c>
      <c r="D550">
        <v>12</v>
      </c>
      <c r="E550" t="s">
        <v>16</v>
      </c>
      <c r="F550" t="s">
        <v>58</v>
      </c>
      <c r="G550" t="s">
        <v>18</v>
      </c>
      <c r="H550" t="s">
        <v>59</v>
      </c>
      <c r="I550" t="s">
        <v>214</v>
      </c>
      <c r="J550">
        <v>70</v>
      </c>
      <c r="K550" t="b">
        <f>FALSE()</f>
        <v>0</v>
      </c>
      <c r="L550" t="s">
        <v>343</v>
      </c>
      <c r="M550" t="s">
        <v>250</v>
      </c>
    </row>
    <row r="551" spans="1:13" x14ac:dyDescent="0.3">
      <c r="A551" t="s">
        <v>626</v>
      </c>
      <c r="B551" s="4">
        <v>41620</v>
      </c>
      <c r="C551">
        <v>2013</v>
      </c>
      <c r="D551">
        <v>12</v>
      </c>
      <c r="E551" t="s">
        <v>16</v>
      </c>
      <c r="F551" t="s">
        <v>58</v>
      </c>
      <c r="G551" t="s">
        <v>18</v>
      </c>
      <c r="H551" t="s">
        <v>59</v>
      </c>
      <c r="I551" t="s">
        <v>214</v>
      </c>
      <c r="J551">
        <v>70</v>
      </c>
      <c r="K551" t="b">
        <f>FALSE()</f>
        <v>0</v>
      </c>
      <c r="L551" t="s">
        <v>343</v>
      </c>
      <c r="M551" t="s">
        <v>250</v>
      </c>
    </row>
    <row r="552" spans="1:13" x14ac:dyDescent="0.3">
      <c r="A552" t="s">
        <v>627</v>
      </c>
      <c r="B552" s="4">
        <v>41644</v>
      </c>
      <c r="C552">
        <v>2014</v>
      </c>
      <c r="D552">
        <v>1</v>
      </c>
      <c r="E552" t="s">
        <v>16</v>
      </c>
      <c r="F552" t="s">
        <v>458</v>
      </c>
      <c r="G552" t="s">
        <v>119</v>
      </c>
      <c r="H552" t="s">
        <v>27</v>
      </c>
      <c r="I552" t="s">
        <v>577</v>
      </c>
      <c r="J552">
        <v>62</v>
      </c>
      <c r="K552" t="b">
        <f>FALSE()</f>
        <v>0</v>
      </c>
      <c r="L552" t="s">
        <v>29</v>
      </c>
      <c r="M552" t="s">
        <v>250</v>
      </c>
    </row>
    <row r="553" spans="1:13" x14ac:dyDescent="0.3">
      <c r="A553" t="s">
        <v>628</v>
      </c>
      <c r="B553" s="4">
        <v>41654</v>
      </c>
      <c r="C553">
        <v>2014</v>
      </c>
      <c r="D553">
        <v>1</v>
      </c>
      <c r="E553" t="s">
        <v>16</v>
      </c>
      <c r="F553" t="s">
        <v>118</v>
      </c>
      <c r="G553" t="s">
        <v>119</v>
      </c>
      <c r="H553" t="s">
        <v>120</v>
      </c>
      <c r="I553" t="s">
        <v>374</v>
      </c>
      <c r="J553">
        <v>178</v>
      </c>
      <c r="K553" t="b">
        <f>FALSE()</f>
        <v>0</v>
      </c>
      <c r="L553" t="s">
        <v>122</v>
      </c>
      <c r="M553" t="s">
        <v>250</v>
      </c>
    </row>
    <row r="554" spans="1:13" x14ac:dyDescent="0.3">
      <c r="A554" t="s">
        <v>629</v>
      </c>
      <c r="B554" s="4">
        <v>41680</v>
      </c>
      <c r="C554">
        <v>2014</v>
      </c>
      <c r="D554">
        <v>2</v>
      </c>
      <c r="E554" t="s">
        <v>16</v>
      </c>
      <c r="F554" t="s">
        <v>235</v>
      </c>
      <c r="G554" t="s">
        <v>18</v>
      </c>
      <c r="H554" t="s">
        <v>19</v>
      </c>
      <c r="I554" t="s">
        <v>45</v>
      </c>
      <c r="J554">
        <v>50</v>
      </c>
      <c r="K554" t="b">
        <f>FALSE()</f>
        <v>0</v>
      </c>
      <c r="L554" t="s">
        <v>21</v>
      </c>
      <c r="M554" t="s">
        <v>250</v>
      </c>
    </row>
    <row r="555" spans="1:13" x14ac:dyDescent="0.3">
      <c r="A555" t="s">
        <v>630</v>
      </c>
      <c r="B555" s="4">
        <v>41682</v>
      </c>
      <c r="C555">
        <v>2014</v>
      </c>
      <c r="D555">
        <v>2</v>
      </c>
      <c r="E555" t="s">
        <v>16</v>
      </c>
      <c r="F555" t="s">
        <v>58</v>
      </c>
      <c r="G555" t="s">
        <v>18</v>
      </c>
      <c r="H555" t="s">
        <v>59</v>
      </c>
      <c r="I555" t="s">
        <v>214</v>
      </c>
      <c r="J555">
        <v>70</v>
      </c>
      <c r="K555" t="b">
        <f>FALSE()</f>
        <v>0</v>
      </c>
      <c r="L555" t="s">
        <v>343</v>
      </c>
      <c r="M555" t="s">
        <v>250</v>
      </c>
    </row>
    <row r="556" spans="1:13" x14ac:dyDescent="0.3">
      <c r="A556" t="s">
        <v>631</v>
      </c>
      <c r="B556" s="4">
        <v>41685</v>
      </c>
      <c r="C556">
        <v>2014</v>
      </c>
      <c r="D556">
        <v>2</v>
      </c>
      <c r="E556" t="s">
        <v>16</v>
      </c>
      <c r="F556" t="s">
        <v>235</v>
      </c>
      <c r="G556" t="s">
        <v>18</v>
      </c>
      <c r="H556" t="s">
        <v>19</v>
      </c>
      <c r="I556" t="s">
        <v>45</v>
      </c>
      <c r="J556">
        <v>50</v>
      </c>
      <c r="K556" t="b">
        <f>FALSE()</f>
        <v>0</v>
      </c>
      <c r="L556" t="s">
        <v>21</v>
      </c>
      <c r="M556" t="s">
        <v>250</v>
      </c>
    </row>
    <row r="557" spans="1:13" x14ac:dyDescent="0.3">
      <c r="A557" t="s">
        <v>632</v>
      </c>
      <c r="B557" s="4">
        <v>41685</v>
      </c>
      <c r="C557">
        <v>2014</v>
      </c>
      <c r="D557">
        <v>2</v>
      </c>
      <c r="E557" t="s">
        <v>16</v>
      </c>
      <c r="F557" t="s">
        <v>235</v>
      </c>
      <c r="G557" t="s">
        <v>18</v>
      </c>
      <c r="H557" t="s">
        <v>19</v>
      </c>
      <c r="I557" t="s">
        <v>45</v>
      </c>
      <c r="J557">
        <v>50</v>
      </c>
      <c r="K557" t="b">
        <f>FALSE()</f>
        <v>0</v>
      </c>
      <c r="L557" t="s">
        <v>21</v>
      </c>
      <c r="M557" t="s">
        <v>250</v>
      </c>
    </row>
    <row r="558" spans="1:13" x14ac:dyDescent="0.3">
      <c r="A558" t="s">
        <v>633</v>
      </c>
      <c r="B558" s="4">
        <v>41690</v>
      </c>
      <c r="C558">
        <v>2014</v>
      </c>
      <c r="D558">
        <v>2</v>
      </c>
      <c r="E558" t="s">
        <v>16</v>
      </c>
      <c r="F558" t="s">
        <v>130</v>
      </c>
      <c r="G558" t="s">
        <v>18</v>
      </c>
      <c r="H558" t="s">
        <v>131</v>
      </c>
      <c r="I558" t="s">
        <v>248</v>
      </c>
      <c r="J558">
        <v>28</v>
      </c>
      <c r="K558" t="b">
        <f>FALSE()</f>
        <v>0</v>
      </c>
      <c r="L558" t="s">
        <v>249</v>
      </c>
      <c r="M558" t="s">
        <v>250</v>
      </c>
    </row>
    <row r="559" spans="1:13" x14ac:dyDescent="0.3">
      <c r="A559" t="s">
        <v>634</v>
      </c>
      <c r="B559" s="4">
        <v>41713</v>
      </c>
      <c r="C559">
        <v>2014</v>
      </c>
      <c r="D559">
        <v>3</v>
      </c>
      <c r="E559" t="s">
        <v>16</v>
      </c>
      <c r="F559" t="s">
        <v>118</v>
      </c>
      <c r="G559" t="s">
        <v>119</v>
      </c>
      <c r="H559" t="s">
        <v>120</v>
      </c>
      <c r="I559" t="s">
        <v>374</v>
      </c>
      <c r="J559">
        <v>178</v>
      </c>
      <c r="K559" t="b">
        <f>FALSE()</f>
        <v>0</v>
      </c>
      <c r="L559" t="s">
        <v>122</v>
      </c>
      <c r="M559" t="s">
        <v>250</v>
      </c>
    </row>
    <row r="560" spans="1:13" x14ac:dyDescent="0.3">
      <c r="A560" t="s">
        <v>635</v>
      </c>
      <c r="B560" s="4">
        <v>41713</v>
      </c>
      <c r="C560">
        <v>2014</v>
      </c>
      <c r="D560">
        <v>3</v>
      </c>
      <c r="E560" t="s">
        <v>16</v>
      </c>
      <c r="F560" t="s">
        <v>41</v>
      </c>
      <c r="G560" t="s">
        <v>18</v>
      </c>
      <c r="H560" t="s">
        <v>27</v>
      </c>
      <c r="I560" t="s">
        <v>533</v>
      </c>
      <c r="J560">
        <v>110</v>
      </c>
      <c r="K560" t="b">
        <f>FALSE()</f>
        <v>0</v>
      </c>
      <c r="L560" t="s">
        <v>29</v>
      </c>
      <c r="M560" t="s">
        <v>250</v>
      </c>
    </row>
    <row r="561" spans="1:13" x14ac:dyDescent="0.3">
      <c r="A561" t="s">
        <v>636</v>
      </c>
      <c r="B561" s="4">
        <v>41734</v>
      </c>
      <c r="C561">
        <v>2014</v>
      </c>
      <c r="D561">
        <v>4</v>
      </c>
      <c r="E561" t="s">
        <v>16</v>
      </c>
      <c r="F561" t="s">
        <v>458</v>
      </c>
      <c r="G561" t="s">
        <v>119</v>
      </c>
      <c r="H561" t="s">
        <v>27</v>
      </c>
      <c r="I561" t="s">
        <v>577</v>
      </c>
      <c r="J561">
        <v>62</v>
      </c>
      <c r="K561" t="b">
        <f>FALSE()</f>
        <v>0</v>
      </c>
      <c r="L561" t="s">
        <v>29</v>
      </c>
      <c r="M561" t="s">
        <v>250</v>
      </c>
    </row>
    <row r="562" spans="1:13" x14ac:dyDescent="0.3">
      <c r="A562" t="s">
        <v>637</v>
      </c>
      <c r="B562" s="4">
        <v>41771</v>
      </c>
      <c r="C562">
        <v>2014</v>
      </c>
      <c r="D562">
        <v>5</v>
      </c>
      <c r="E562" t="s">
        <v>16</v>
      </c>
      <c r="F562" t="s">
        <v>58</v>
      </c>
      <c r="G562" t="s">
        <v>18</v>
      </c>
      <c r="H562" t="s">
        <v>59</v>
      </c>
      <c r="I562" t="s">
        <v>214</v>
      </c>
      <c r="J562">
        <v>70</v>
      </c>
      <c r="K562" t="b">
        <f>FALSE()</f>
        <v>0</v>
      </c>
      <c r="L562" t="s">
        <v>343</v>
      </c>
      <c r="M562" t="s">
        <v>250</v>
      </c>
    </row>
    <row r="563" spans="1:13" x14ac:dyDescent="0.3">
      <c r="A563" t="s">
        <v>638</v>
      </c>
      <c r="B563" s="4">
        <v>41774</v>
      </c>
      <c r="C563">
        <v>2014</v>
      </c>
      <c r="D563">
        <v>5</v>
      </c>
      <c r="E563" t="s">
        <v>16</v>
      </c>
      <c r="F563" t="s">
        <v>235</v>
      </c>
      <c r="G563" t="s">
        <v>18</v>
      </c>
      <c r="H563" t="s">
        <v>19</v>
      </c>
      <c r="I563" t="s">
        <v>45</v>
      </c>
      <c r="J563">
        <v>50</v>
      </c>
      <c r="K563" t="b">
        <f>FALSE()</f>
        <v>0</v>
      </c>
      <c r="L563" t="s">
        <v>21</v>
      </c>
      <c r="M563" t="s">
        <v>250</v>
      </c>
    </row>
    <row r="564" spans="1:13" x14ac:dyDescent="0.3">
      <c r="A564" t="s">
        <v>639</v>
      </c>
      <c r="B564" s="4">
        <v>41774</v>
      </c>
      <c r="C564">
        <v>2014</v>
      </c>
      <c r="D564">
        <v>5</v>
      </c>
      <c r="E564" t="s">
        <v>16</v>
      </c>
      <c r="F564" t="s">
        <v>118</v>
      </c>
      <c r="G564" t="s">
        <v>119</v>
      </c>
      <c r="H564" t="s">
        <v>120</v>
      </c>
      <c r="I564" t="s">
        <v>374</v>
      </c>
      <c r="J564">
        <v>178</v>
      </c>
      <c r="K564" t="b">
        <f>FALSE()</f>
        <v>0</v>
      </c>
      <c r="L564" t="s">
        <v>122</v>
      </c>
      <c r="M564" t="s">
        <v>250</v>
      </c>
    </row>
    <row r="565" spans="1:13" x14ac:dyDescent="0.3">
      <c r="A565" t="s">
        <v>640</v>
      </c>
      <c r="B565" s="4">
        <v>41800</v>
      </c>
      <c r="C565">
        <v>2014</v>
      </c>
      <c r="D565">
        <v>6</v>
      </c>
      <c r="E565" t="s">
        <v>16</v>
      </c>
      <c r="F565" t="s">
        <v>235</v>
      </c>
      <c r="G565" t="s">
        <v>18</v>
      </c>
      <c r="H565" t="s">
        <v>19</v>
      </c>
      <c r="I565" t="s">
        <v>45</v>
      </c>
      <c r="J565">
        <v>50</v>
      </c>
      <c r="K565" t="b">
        <f>FALSE()</f>
        <v>0</v>
      </c>
      <c r="L565" t="s">
        <v>21</v>
      </c>
      <c r="M565" t="s">
        <v>250</v>
      </c>
    </row>
    <row r="566" spans="1:13" x14ac:dyDescent="0.3">
      <c r="A566" t="s">
        <v>641</v>
      </c>
      <c r="B566" s="4">
        <v>41835</v>
      </c>
      <c r="C566">
        <v>2014</v>
      </c>
      <c r="D566">
        <v>7</v>
      </c>
      <c r="E566" t="s">
        <v>16</v>
      </c>
      <c r="F566" t="s">
        <v>118</v>
      </c>
      <c r="G566" t="s">
        <v>119</v>
      </c>
      <c r="H566" t="s">
        <v>120</v>
      </c>
      <c r="I566" t="s">
        <v>374</v>
      </c>
      <c r="J566">
        <v>178</v>
      </c>
      <c r="K566" t="b">
        <f>FALSE()</f>
        <v>0</v>
      </c>
      <c r="L566" t="s">
        <v>122</v>
      </c>
      <c r="M566" t="s">
        <v>250</v>
      </c>
    </row>
    <row r="567" spans="1:13" x14ac:dyDescent="0.3">
      <c r="A567" t="s">
        <v>642</v>
      </c>
      <c r="B567" s="4">
        <v>41863</v>
      </c>
      <c r="C567">
        <v>2014</v>
      </c>
      <c r="D567">
        <v>8</v>
      </c>
      <c r="E567" t="s">
        <v>16</v>
      </c>
      <c r="F567" t="s">
        <v>58</v>
      </c>
      <c r="G567" t="s">
        <v>18</v>
      </c>
      <c r="H567" t="s">
        <v>59</v>
      </c>
      <c r="I567" t="s">
        <v>214</v>
      </c>
      <c r="J567">
        <v>70</v>
      </c>
      <c r="K567" t="b">
        <f>FALSE()</f>
        <v>0</v>
      </c>
      <c r="L567" t="s">
        <v>343</v>
      </c>
      <c r="M567" t="s">
        <v>250</v>
      </c>
    </row>
    <row r="568" spans="1:13" x14ac:dyDescent="0.3">
      <c r="A568" t="s">
        <v>643</v>
      </c>
      <c r="B568" s="4">
        <v>41866</v>
      </c>
      <c r="C568">
        <v>2014</v>
      </c>
      <c r="D568">
        <v>8</v>
      </c>
      <c r="E568" t="s">
        <v>16</v>
      </c>
      <c r="F568" t="s">
        <v>235</v>
      </c>
      <c r="G568" t="s">
        <v>18</v>
      </c>
      <c r="H568" t="s">
        <v>19</v>
      </c>
      <c r="I568" t="s">
        <v>45</v>
      </c>
      <c r="J568">
        <v>50</v>
      </c>
      <c r="K568" t="b">
        <f>FALSE()</f>
        <v>0</v>
      </c>
      <c r="L568" t="s">
        <v>21</v>
      </c>
      <c r="M568" t="s">
        <v>250</v>
      </c>
    </row>
    <row r="569" spans="1:13" x14ac:dyDescent="0.3">
      <c r="A569" t="s">
        <v>644</v>
      </c>
      <c r="B569" s="4">
        <v>41871</v>
      </c>
      <c r="C569">
        <v>2014</v>
      </c>
      <c r="D569">
        <v>8</v>
      </c>
      <c r="E569" t="s">
        <v>16</v>
      </c>
      <c r="F569" t="s">
        <v>130</v>
      </c>
      <c r="G569" t="s">
        <v>18</v>
      </c>
      <c r="H569" t="s">
        <v>131</v>
      </c>
      <c r="I569" t="s">
        <v>248</v>
      </c>
      <c r="J569">
        <v>28</v>
      </c>
      <c r="K569" t="b">
        <f>FALSE()</f>
        <v>0</v>
      </c>
      <c r="L569" t="s">
        <v>249</v>
      </c>
      <c r="M569" t="s">
        <v>250</v>
      </c>
    </row>
    <row r="570" spans="1:13" x14ac:dyDescent="0.3">
      <c r="A570" t="s">
        <v>645</v>
      </c>
      <c r="B570" s="4">
        <v>41897</v>
      </c>
      <c r="C570">
        <v>2014</v>
      </c>
      <c r="D570">
        <v>9</v>
      </c>
      <c r="E570" t="s">
        <v>16</v>
      </c>
      <c r="F570" t="s">
        <v>41</v>
      </c>
      <c r="G570" t="s">
        <v>18</v>
      </c>
      <c r="H570" t="s">
        <v>27</v>
      </c>
      <c r="I570" t="s">
        <v>533</v>
      </c>
      <c r="J570">
        <v>110</v>
      </c>
      <c r="K570" t="b">
        <f>FALSE()</f>
        <v>0</v>
      </c>
      <c r="L570" t="s">
        <v>29</v>
      </c>
      <c r="M570" t="s">
        <v>250</v>
      </c>
    </row>
    <row r="571" spans="1:13" x14ac:dyDescent="0.3">
      <c r="A571" t="s">
        <v>646</v>
      </c>
      <c r="B571" s="4">
        <v>41922</v>
      </c>
      <c r="C571">
        <v>2014</v>
      </c>
      <c r="D571">
        <v>10</v>
      </c>
      <c r="E571" t="s">
        <v>16</v>
      </c>
      <c r="F571" t="s">
        <v>235</v>
      </c>
      <c r="G571" t="s">
        <v>18</v>
      </c>
      <c r="H571" t="s">
        <v>19</v>
      </c>
      <c r="I571" t="s">
        <v>45</v>
      </c>
      <c r="J571">
        <v>50</v>
      </c>
      <c r="K571" t="b">
        <f>FALSE()</f>
        <v>0</v>
      </c>
      <c r="L571" t="s">
        <v>21</v>
      </c>
      <c r="M571" t="s">
        <v>250</v>
      </c>
    </row>
    <row r="572" spans="1:13" x14ac:dyDescent="0.3">
      <c r="A572" t="s">
        <v>647</v>
      </c>
      <c r="B572" s="4">
        <v>41955</v>
      </c>
      <c r="C572">
        <v>2014</v>
      </c>
      <c r="D572">
        <v>11</v>
      </c>
      <c r="E572" t="s">
        <v>16</v>
      </c>
      <c r="F572" t="s">
        <v>58</v>
      </c>
      <c r="G572" t="s">
        <v>18</v>
      </c>
      <c r="H572" t="s">
        <v>59</v>
      </c>
      <c r="I572" t="s">
        <v>214</v>
      </c>
      <c r="J572">
        <v>70</v>
      </c>
      <c r="K572" t="b">
        <f>FALSE()</f>
        <v>0</v>
      </c>
      <c r="L572" t="s">
        <v>343</v>
      </c>
      <c r="M572" t="s">
        <v>250</v>
      </c>
    </row>
    <row r="573" spans="1:13" x14ac:dyDescent="0.3">
      <c r="A573" t="s">
        <v>648</v>
      </c>
      <c r="B573" s="4">
        <v>41958</v>
      </c>
      <c r="C573">
        <v>2014</v>
      </c>
      <c r="D573">
        <v>11</v>
      </c>
      <c r="E573" t="s">
        <v>16</v>
      </c>
      <c r="F573" t="s">
        <v>235</v>
      </c>
      <c r="G573" t="s">
        <v>18</v>
      </c>
      <c r="H573" t="s">
        <v>19</v>
      </c>
      <c r="I573" t="s">
        <v>45</v>
      </c>
      <c r="J573">
        <v>50</v>
      </c>
      <c r="K573" t="b">
        <f>FALSE()</f>
        <v>0</v>
      </c>
      <c r="L573" t="s">
        <v>21</v>
      </c>
      <c r="M573" t="s">
        <v>250</v>
      </c>
    </row>
    <row r="574" spans="1:13" x14ac:dyDescent="0.3">
      <c r="A574" t="s">
        <v>649</v>
      </c>
      <c r="B574" s="4">
        <v>41976</v>
      </c>
      <c r="C574">
        <v>2014</v>
      </c>
      <c r="D574">
        <v>12</v>
      </c>
      <c r="E574" t="s">
        <v>16</v>
      </c>
      <c r="F574" t="s">
        <v>399</v>
      </c>
      <c r="G574" t="s">
        <v>18</v>
      </c>
      <c r="H574" t="s">
        <v>400</v>
      </c>
      <c r="I574" t="s">
        <v>650</v>
      </c>
      <c r="J574">
        <v>90</v>
      </c>
      <c r="K574" t="b">
        <f>FALSE()</f>
        <v>0</v>
      </c>
      <c r="L574" t="s">
        <v>402</v>
      </c>
      <c r="M574" t="s">
        <v>250</v>
      </c>
    </row>
    <row r="575" spans="1:13" x14ac:dyDescent="0.3">
      <c r="A575" t="s">
        <v>651</v>
      </c>
      <c r="B575" s="4">
        <v>41985</v>
      </c>
      <c r="C575">
        <v>2014</v>
      </c>
      <c r="D575">
        <v>12</v>
      </c>
      <c r="E575" t="s">
        <v>16</v>
      </c>
      <c r="F575" t="s">
        <v>58</v>
      </c>
      <c r="G575" t="s">
        <v>18</v>
      </c>
      <c r="H575" t="s">
        <v>59</v>
      </c>
      <c r="I575" t="s">
        <v>214</v>
      </c>
      <c r="J575">
        <v>70</v>
      </c>
      <c r="K575" t="b">
        <f>FALSE()</f>
        <v>0</v>
      </c>
      <c r="L575" t="s">
        <v>343</v>
      </c>
      <c r="M575" t="s">
        <v>250</v>
      </c>
    </row>
    <row r="576" spans="1:13" x14ac:dyDescent="0.3">
      <c r="A576" t="s">
        <v>652</v>
      </c>
      <c r="B576" s="4">
        <v>41985</v>
      </c>
      <c r="C576">
        <v>2014</v>
      </c>
      <c r="D576">
        <v>12</v>
      </c>
      <c r="E576" t="s">
        <v>16</v>
      </c>
      <c r="F576" t="s">
        <v>58</v>
      </c>
      <c r="G576" t="s">
        <v>18</v>
      </c>
      <c r="H576" t="s">
        <v>59</v>
      </c>
      <c r="I576" t="s">
        <v>214</v>
      </c>
      <c r="J576">
        <v>70</v>
      </c>
      <c r="K576" t="b">
        <f>FALSE()</f>
        <v>0</v>
      </c>
      <c r="L576" t="s">
        <v>343</v>
      </c>
      <c r="M576" t="s">
        <v>250</v>
      </c>
    </row>
    <row r="577" spans="1:13" x14ac:dyDescent="0.3">
      <c r="A577" t="s">
        <v>653</v>
      </c>
      <c r="B577" s="4">
        <v>42009</v>
      </c>
      <c r="C577">
        <v>2015</v>
      </c>
      <c r="D577">
        <v>1</v>
      </c>
      <c r="E577" t="s">
        <v>25</v>
      </c>
      <c r="F577" t="s">
        <v>458</v>
      </c>
      <c r="G577" t="s">
        <v>119</v>
      </c>
      <c r="H577" t="s">
        <v>27</v>
      </c>
      <c r="I577" t="s">
        <v>577</v>
      </c>
      <c r="J577">
        <v>62</v>
      </c>
      <c r="K577" t="b">
        <f>TRUE()</f>
        <v>1</v>
      </c>
      <c r="L577" t="s">
        <v>29</v>
      </c>
      <c r="M577" t="s">
        <v>250</v>
      </c>
    </row>
    <row r="578" spans="1:13" x14ac:dyDescent="0.3">
      <c r="A578" t="s">
        <v>654</v>
      </c>
      <c r="B578" s="4">
        <v>42019</v>
      </c>
      <c r="C578">
        <v>2015</v>
      </c>
      <c r="D578">
        <v>1</v>
      </c>
      <c r="E578" t="s">
        <v>16</v>
      </c>
      <c r="F578" t="s">
        <v>118</v>
      </c>
      <c r="G578" t="s">
        <v>119</v>
      </c>
      <c r="H578" t="s">
        <v>120</v>
      </c>
      <c r="I578" t="s">
        <v>374</v>
      </c>
      <c r="J578">
        <v>178</v>
      </c>
      <c r="K578" t="b">
        <f>FALSE()</f>
        <v>0</v>
      </c>
      <c r="L578" t="s">
        <v>122</v>
      </c>
      <c r="M578" t="s">
        <v>250</v>
      </c>
    </row>
    <row r="579" spans="1:13" x14ac:dyDescent="0.3">
      <c r="A579" t="s">
        <v>655</v>
      </c>
      <c r="B579" s="4">
        <v>42045</v>
      </c>
      <c r="C579">
        <v>2015</v>
      </c>
      <c r="D579">
        <v>2</v>
      </c>
      <c r="E579" t="s">
        <v>16</v>
      </c>
      <c r="F579" t="s">
        <v>235</v>
      </c>
      <c r="G579" t="s">
        <v>18</v>
      </c>
      <c r="H579" t="s">
        <v>19</v>
      </c>
      <c r="I579" t="s">
        <v>45</v>
      </c>
      <c r="J579">
        <v>50</v>
      </c>
      <c r="K579" t="b">
        <f>FALSE()</f>
        <v>0</v>
      </c>
      <c r="L579" t="s">
        <v>21</v>
      </c>
      <c r="M579" t="s">
        <v>250</v>
      </c>
    </row>
    <row r="580" spans="1:13" x14ac:dyDescent="0.3">
      <c r="A580" t="s">
        <v>656</v>
      </c>
      <c r="B580" s="4">
        <v>42047</v>
      </c>
      <c r="C580">
        <v>2015</v>
      </c>
      <c r="D580">
        <v>2</v>
      </c>
      <c r="E580" t="s">
        <v>16</v>
      </c>
      <c r="F580" t="s">
        <v>58</v>
      </c>
      <c r="G580" t="s">
        <v>18</v>
      </c>
      <c r="H580" t="s">
        <v>59</v>
      </c>
      <c r="I580" t="s">
        <v>214</v>
      </c>
      <c r="J580">
        <v>70</v>
      </c>
      <c r="K580" t="b">
        <f>FALSE()</f>
        <v>0</v>
      </c>
      <c r="L580" t="s">
        <v>343</v>
      </c>
      <c r="M580" t="s">
        <v>250</v>
      </c>
    </row>
    <row r="581" spans="1:13" x14ac:dyDescent="0.3">
      <c r="A581" t="s">
        <v>657</v>
      </c>
      <c r="B581" s="4">
        <v>42050</v>
      </c>
      <c r="C581">
        <v>2015</v>
      </c>
      <c r="D581">
        <v>2</v>
      </c>
      <c r="E581" t="s">
        <v>16</v>
      </c>
      <c r="F581" t="s">
        <v>235</v>
      </c>
      <c r="G581" t="s">
        <v>18</v>
      </c>
      <c r="H581" t="s">
        <v>19</v>
      </c>
      <c r="I581" t="s">
        <v>45</v>
      </c>
      <c r="J581">
        <v>50</v>
      </c>
      <c r="K581" t="b">
        <f>FALSE()</f>
        <v>0</v>
      </c>
      <c r="L581" t="s">
        <v>21</v>
      </c>
      <c r="M581" t="s">
        <v>250</v>
      </c>
    </row>
    <row r="582" spans="1:13" x14ac:dyDescent="0.3">
      <c r="A582" t="s">
        <v>658</v>
      </c>
      <c r="B582" s="4">
        <v>42050</v>
      </c>
      <c r="C582">
        <v>2015</v>
      </c>
      <c r="D582">
        <v>2</v>
      </c>
      <c r="E582" t="s">
        <v>16</v>
      </c>
      <c r="F582" t="s">
        <v>235</v>
      </c>
      <c r="G582" t="s">
        <v>18</v>
      </c>
      <c r="H582" t="s">
        <v>19</v>
      </c>
      <c r="I582" t="s">
        <v>45</v>
      </c>
      <c r="J582">
        <v>50</v>
      </c>
      <c r="K582" t="b">
        <f>FALSE()</f>
        <v>0</v>
      </c>
      <c r="L582" t="s">
        <v>21</v>
      </c>
      <c r="M582" t="s">
        <v>250</v>
      </c>
    </row>
    <row r="583" spans="1:13" x14ac:dyDescent="0.3">
      <c r="A583" t="s">
        <v>659</v>
      </c>
      <c r="B583" s="4">
        <v>42055</v>
      </c>
      <c r="C583">
        <v>2015</v>
      </c>
      <c r="D583">
        <v>2</v>
      </c>
      <c r="E583" t="s">
        <v>16</v>
      </c>
      <c r="F583" t="s">
        <v>130</v>
      </c>
      <c r="G583" t="s">
        <v>18</v>
      </c>
      <c r="H583" t="s">
        <v>131</v>
      </c>
      <c r="I583" t="s">
        <v>248</v>
      </c>
      <c r="J583">
        <v>28</v>
      </c>
      <c r="K583" t="b">
        <f>FALSE()</f>
        <v>0</v>
      </c>
      <c r="L583" t="s">
        <v>249</v>
      </c>
      <c r="M583" t="s">
        <v>250</v>
      </c>
    </row>
    <row r="584" spans="1:13" x14ac:dyDescent="0.3">
      <c r="A584" t="s">
        <v>660</v>
      </c>
      <c r="B584" s="4">
        <v>42078</v>
      </c>
      <c r="C584">
        <v>2015</v>
      </c>
      <c r="D584">
        <v>3</v>
      </c>
      <c r="E584" t="s">
        <v>16</v>
      </c>
      <c r="F584" t="s">
        <v>118</v>
      </c>
      <c r="G584" t="s">
        <v>119</v>
      </c>
      <c r="H584" t="s">
        <v>120</v>
      </c>
      <c r="I584" t="s">
        <v>374</v>
      </c>
      <c r="J584">
        <v>178</v>
      </c>
      <c r="K584" t="b">
        <f>FALSE()</f>
        <v>0</v>
      </c>
      <c r="L584" t="s">
        <v>122</v>
      </c>
      <c r="M584" t="s">
        <v>250</v>
      </c>
    </row>
    <row r="585" spans="1:13" x14ac:dyDescent="0.3">
      <c r="A585" t="s">
        <v>661</v>
      </c>
      <c r="B585" s="4">
        <v>42078</v>
      </c>
      <c r="C585">
        <v>2015</v>
      </c>
      <c r="D585">
        <v>3</v>
      </c>
      <c r="E585" t="s">
        <v>16</v>
      </c>
      <c r="F585" t="s">
        <v>41</v>
      </c>
      <c r="G585" t="s">
        <v>18</v>
      </c>
      <c r="H585" t="s">
        <v>27</v>
      </c>
      <c r="I585" t="s">
        <v>533</v>
      </c>
      <c r="J585">
        <v>110</v>
      </c>
      <c r="K585" t="b">
        <f>FALSE()</f>
        <v>0</v>
      </c>
      <c r="L585" t="s">
        <v>29</v>
      </c>
      <c r="M585" t="s">
        <v>250</v>
      </c>
    </row>
    <row r="586" spans="1:13" x14ac:dyDescent="0.3">
      <c r="A586" t="s">
        <v>662</v>
      </c>
      <c r="B586" s="4">
        <v>42099</v>
      </c>
      <c r="C586">
        <v>2015</v>
      </c>
      <c r="D586">
        <v>4</v>
      </c>
      <c r="E586" t="s">
        <v>16</v>
      </c>
      <c r="F586" t="s">
        <v>458</v>
      </c>
      <c r="G586" t="s">
        <v>119</v>
      </c>
      <c r="H586" t="s">
        <v>27</v>
      </c>
      <c r="I586" t="s">
        <v>577</v>
      </c>
      <c r="J586">
        <v>62</v>
      </c>
      <c r="K586" t="b">
        <f>TRUE()</f>
        <v>1</v>
      </c>
      <c r="L586" t="s">
        <v>29</v>
      </c>
      <c r="M586" t="s">
        <v>250</v>
      </c>
    </row>
    <row r="587" spans="1:13" x14ac:dyDescent="0.3">
      <c r="A587" t="s">
        <v>663</v>
      </c>
      <c r="B587" s="4">
        <v>42123</v>
      </c>
      <c r="C587">
        <v>2015</v>
      </c>
      <c r="D587">
        <v>4</v>
      </c>
      <c r="E587" t="s">
        <v>25</v>
      </c>
      <c r="F587" t="s">
        <v>664</v>
      </c>
      <c r="G587" t="s">
        <v>119</v>
      </c>
      <c r="H587" t="s">
        <v>27</v>
      </c>
      <c r="I587" t="s">
        <v>665</v>
      </c>
      <c r="J587">
        <v>0</v>
      </c>
      <c r="K587" t="b">
        <f>TRUE()</f>
        <v>1</v>
      </c>
      <c r="L587" t="s">
        <v>666</v>
      </c>
      <c r="M587" t="s">
        <v>250</v>
      </c>
    </row>
    <row r="588" spans="1:13" x14ac:dyDescent="0.3">
      <c r="A588" t="s">
        <v>667</v>
      </c>
      <c r="B588" s="4">
        <v>42136</v>
      </c>
      <c r="C588">
        <v>2015</v>
      </c>
      <c r="D588">
        <v>5</v>
      </c>
      <c r="E588" t="s">
        <v>16</v>
      </c>
      <c r="F588" t="s">
        <v>58</v>
      </c>
      <c r="G588" t="s">
        <v>18</v>
      </c>
      <c r="H588" t="s">
        <v>59</v>
      </c>
      <c r="I588" t="s">
        <v>214</v>
      </c>
      <c r="J588">
        <v>70</v>
      </c>
      <c r="K588" t="b">
        <f>FALSE()</f>
        <v>0</v>
      </c>
      <c r="L588" t="s">
        <v>343</v>
      </c>
      <c r="M588" t="s">
        <v>250</v>
      </c>
    </row>
    <row r="589" spans="1:13" x14ac:dyDescent="0.3">
      <c r="A589" t="s">
        <v>668</v>
      </c>
      <c r="B589" s="4">
        <v>42139</v>
      </c>
      <c r="C589">
        <v>2015</v>
      </c>
      <c r="D589">
        <v>5</v>
      </c>
      <c r="E589" t="s">
        <v>16</v>
      </c>
      <c r="F589" t="s">
        <v>235</v>
      </c>
      <c r="G589" t="s">
        <v>18</v>
      </c>
      <c r="H589" t="s">
        <v>19</v>
      </c>
      <c r="I589" t="s">
        <v>45</v>
      </c>
      <c r="J589">
        <v>50</v>
      </c>
      <c r="K589" t="b">
        <f>FALSE()</f>
        <v>0</v>
      </c>
      <c r="L589" t="s">
        <v>21</v>
      </c>
      <c r="M589" t="s">
        <v>250</v>
      </c>
    </row>
    <row r="590" spans="1:13" x14ac:dyDescent="0.3">
      <c r="A590" t="s">
        <v>669</v>
      </c>
      <c r="B590" s="4">
        <v>42139</v>
      </c>
      <c r="C590">
        <v>2015</v>
      </c>
      <c r="D590">
        <v>5</v>
      </c>
      <c r="E590" t="s">
        <v>16</v>
      </c>
      <c r="F590" t="s">
        <v>118</v>
      </c>
      <c r="G590" t="s">
        <v>119</v>
      </c>
      <c r="H590" t="s">
        <v>120</v>
      </c>
      <c r="I590" t="s">
        <v>374</v>
      </c>
      <c r="J590">
        <v>178</v>
      </c>
      <c r="K590" t="b">
        <f>FALSE()</f>
        <v>0</v>
      </c>
      <c r="L590" t="s">
        <v>122</v>
      </c>
      <c r="M590" t="s">
        <v>250</v>
      </c>
    </row>
    <row r="591" spans="1:13" x14ac:dyDescent="0.3">
      <c r="A591" t="s">
        <v>670</v>
      </c>
      <c r="B591" s="4">
        <v>42165</v>
      </c>
      <c r="C591">
        <v>2015</v>
      </c>
      <c r="D591">
        <v>6</v>
      </c>
      <c r="E591" t="s">
        <v>16</v>
      </c>
      <c r="F591" t="s">
        <v>235</v>
      </c>
      <c r="G591" t="s">
        <v>18</v>
      </c>
      <c r="H591" t="s">
        <v>19</v>
      </c>
      <c r="I591" t="s">
        <v>45</v>
      </c>
      <c r="J591">
        <v>50</v>
      </c>
      <c r="K591" t="b">
        <f>FALSE()</f>
        <v>0</v>
      </c>
      <c r="L591" t="s">
        <v>21</v>
      </c>
      <c r="M591" t="s">
        <v>250</v>
      </c>
    </row>
    <row r="592" spans="1:13" x14ac:dyDescent="0.3">
      <c r="A592" t="s">
        <v>671</v>
      </c>
      <c r="B592" s="4">
        <v>42200</v>
      </c>
      <c r="C592">
        <v>2015</v>
      </c>
      <c r="D592">
        <v>7</v>
      </c>
      <c r="E592" t="s">
        <v>16</v>
      </c>
      <c r="F592" t="s">
        <v>118</v>
      </c>
      <c r="G592" t="s">
        <v>119</v>
      </c>
      <c r="H592" t="s">
        <v>120</v>
      </c>
      <c r="I592" t="s">
        <v>374</v>
      </c>
      <c r="J592">
        <v>178</v>
      </c>
      <c r="K592" t="b">
        <f>FALSE()</f>
        <v>0</v>
      </c>
      <c r="L592" t="s">
        <v>122</v>
      </c>
      <c r="M592" t="s">
        <v>250</v>
      </c>
    </row>
    <row r="593" spans="1:13" x14ac:dyDescent="0.3">
      <c r="A593" t="s">
        <v>672</v>
      </c>
      <c r="B593" s="4">
        <v>42228</v>
      </c>
      <c r="C593">
        <v>2015</v>
      </c>
      <c r="D593">
        <v>8</v>
      </c>
      <c r="E593" t="s">
        <v>16</v>
      </c>
      <c r="F593" t="s">
        <v>58</v>
      </c>
      <c r="G593" t="s">
        <v>18</v>
      </c>
      <c r="H593" t="s">
        <v>59</v>
      </c>
      <c r="I593" t="s">
        <v>214</v>
      </c>
      <c r="J593">
        <v>70</v>
      </c>
      <c r="K593" t="b">
        <f>FALSE()</f>
        <v>0</v>
      </c>
      <c r="L593" t="s">
        <v>343</v>
      </c>
      <c r="M593" t="s">
        <v>250</v>
      </c>
    </row>
    <row r="594" spans="1:13" x14ac:dyDescent="0.3">
      <c r="A594" t="s">
        <v>673</v>
      </c>
      <c r="B594" s="4">
        <v>42231</v>
      </c>
      <c r="C594">
        <v>2015</v>
      </c>
      <c r="D594">
        <v>8</v>
      </c>
      <c r="E594" t="s">
        <v>16</v>
      </c>
      <c r="F594" t="s">
        <v>235</v>
      </c>
      <c r="G594" t="s">
        <v>18</v>
      </c>
      <c r="H594" t="s">
        <v>19</v>
      </c>
      <c r="I594" t="s">
        <v>45</v>
      </c>
      <c r="J594">
        <v>50</v>
      </c>
      <c r="K594" t="b">
        <f>FALSE()</f>
        <v>0</v>
      </c>
      <c r="L594" t="s">
        <v>21</v>
      </c>
      <c r="M594" t="s">
        <v>250</v>
      </c>
    </row>
    <row r="595" spans="1:13" x14ac:dyDescent="0.3">
      <c r="A595" t="s">
        <v>674</v>
      </c>
      <c r="B595" s="4">
        <v>42236</v>
      </c>
      <c r="C595">
        <v>2015</v>
      </c>
      <c r="D595">
        <v>8</v>
      </c>
      <c r="E595" t="s">
        <v>16</v>
      </c>
      <c r="F595" t="s">
        <v>130</v>
      </c>
      <c r="G595" t="s">
        <v>18</v>
      </c>
      <c r="H595" t="s">
        <v>131</v>
      </c>
      <c r="I595" t="s">
        <v>248</v>
      </c>
      <c r="J595">
        <v>28</v>
      </c>
      <c r="K595" t="b">
        <f>FALSE()</f>
        <v>0</v>
      </c>
      <c r="L595" t="s">
        <v>249</v>
      </c>
      <c r="M595" t="s">
        <v>250</v>
      </c>
    </row>
    <row r="596" spans="1:13" x14ac:dyDescent="0.3">
      <c r="A596" t="s">
        <v>675</v>
      </c>
      <c r="B596" s="4">
        <v>42262</v>
      </c>
      <c r="C596">
        <v>2015</v>
      </c>
      <c r="D596">
        <v>9</v>
      </c>
      <c r="E596" t="s">
        <v>16</v>
      </c>
      <c r="F596" t="s">
        <v>41</v>
      </c>
      <c r="G596" t="s">
        <v>18</v>
      </c>
      <c r="H596" t="s">
        <v>27</v>
      </c>
      <c r="I596" t="s">
        <v>533</v>
      </c>
      <c r="J596">
        <v>110</v>
      </c>
      <c r="K596" t="b">
        <f>FALSE()</f>
        <v>0</v>
      </c>
      <c r="L596" t="s">
        <v>29</v>
      </c>
      <c r="M596" t="s">
        <v>250</v>
      </c>
    </row>
    <row r="597" spans="1:13" x14ac:dyDescent="0.3">
      <c r="A597" t="s">
        <v>676</v>
      </c>
      <c r="B597" s="4">
        <v>42287</v>
      </c>
      <c r="C597">
        <v>2015</v>
      </c>
      <c r="D597">
        <v>10</v>
      </c>
      <c r="E597" t="s">
        <v>16</v>
      </c>
      <c r="F597" t="s">
        <v>235</v>
      </c>
      <c r="G597" t="s">
        <v>18</v>
      </c>
      <c r="H597" t="s">
        <v>19</v>
      </c>
      <c r="I597" t="s">
        <v>45</v>
      </c>
      <c r="J597">
        <v>50</v>
      </c>
      <c r="K597" t="b">
        <f>FALSE()</f>
        <v>0</v>
      </c>
      <c r="L597" t="s">
        <v>21</v>
      </c>
      <c r="M597" t="s">
        <v>250</v>
      </c>
    </row>
    <row r="598" spans="1:13" x14ac:dyDescent="0.3">
      <c r="A598" t="s">
        <v>677</v>
      </c>
      <c r="B598" s="4">
        <v>42320</v>
      </c>
      <c r="C598">
        <v>2015</v>
      </c>
      <c r="D598">
        <v>11</v>
      </c>
      <c r="E598" t="s">
        <v>16</v>
      </c>
      <c r="F598" t="s">
        <v>58</v>
      </c>
      <c r="G598" t="s">
        <v>18</v>
      </c>
      <c r="H598" t="s">
        <v>59</v>
      </c>
      <c r="I598" t="s">
        <v>214</v>
      </c>
      <c r="J598">
        <v>70</v>
      </c>
      <c r="K598" t="b">
        <f>FALSE()</f>
        <v>0</v>
      </c>
      <c r="L598" t="s">
        <v>343</v>
      </c>
      <c r="M598" t="s">
        <v>250</v>
      </c>
    </row>
    <row r="599" spans="1:13" x14ac:dyDescent="0.3">
      <c r="A599" t="s">
        <v>678</v>
      </c>
      <c r="B599" s="4">
        <v>42323</v>
      </c>
      <c r="C599">
        <v>2015</v>
      </c>
      <c r="D599">
        <v>11</v>
      </c>
      <c r="E599" t="s">
        <v>16</v>
      </c>
      <c r="F599" t="s">
        <v>235</v>
      </c>
      <c r="G599" t="s">
        <v>18</v>
      </c>
      <c r="H599" t="s">
        <v>19</v>
      </c>
      <c r="I599" t="s">
        <v>45</v>
      </c>
      <c r="J599">
        <v>50</v>
      </c>
      <c r="K599" t="b">
        <f>FALSE()</f>
        <v>0</v>
      </c>
      <c r="L599" t="s">
        <v>21</v>
      </c>
      <c r="M599" t="s">
        <v>250</v>
      </c>
    </row>
    <row r="600" spans="1:13" x14ac:dyDescent="0.3">
      <c r="A600" t="s">
        <v>679</v>
      </c>
      <c r="B600" s="4">
        <v>42350</v>
      </c>
      <c r="C600">
        <v>2015</v>
      </c>
      <c r="D600">
        <v>12</v>
      </c>
      <c r="E600" t="s">
        <v>16</v>
      </c>
      <c r="F600" t="s">
        <v>58</v>
      </c>
      <c r="G600" t="s">
        <v>18</v>
      </c>
      <c r="H600" t="s">
        <v>59</v>
      </c>
      <c r="I600" t="s">
        <v>214</v>
      </c>
      <c r="J600">
        <v>70</v>
      </c>
      <c r="K600" t="b">
        <f>FALSE()</f>
        <v>0</v>
      </c>
      <c r="L600" t="s">
        <v>343</v>
      </c>
      <c r="M600" t="s">
        <v>250</v>
      </c>
    </row>
    <row r="601" spans="1:13" x14ac:dyDescent="0.3">
      <c r="A601" t="s">
        <v>680</v>
      </c>
      <c r="B601" s="4">
        <v>42350</v>
      </c>
      <c r="C601">
        <v>2015</v>
      </c>
      <c r="D601">
        <v>12</v>
      </c>
      <c r="E601" t="s">
        <v>16</v>
      </c>
      <c r="F601" t="s">
        <v>58</v>
      </c>
      <c r="G601" t="s">
        <v>18</v>
      </c>
      <c r="H601" t="s">
        <v>59</v>
      </c>
      <c r="I601" t="s">
        <v>214</v>
      </c>
      <c r="J601">
        <v>70</v>
      </c>
      <c r="K601" t="b">
        <f>FALSE()</f>
        <v>0</v>
      </c>
      <c r="L601" t="s">
        <v>343</v>
      </c>
      <c r="M601" t="s">
        <v>250</v>
      </c>
    </row>
    <row r="602" spans="1:13" x14ac:dyDescent="0.3">
      <c r="A602" t="s">
        <v>681</v>
      </c>
      <c r="B602" s="4">
        <v>42360</v>
      </c>
      <c r="C602">
        <v>2015</v>
      </c>
      <c r="D602">
        <v>12</v>
      </c>
      <c r="E602" t="s">
        <v>16</v>
      </c>
      <c r="F602" t="s">
        <v>458</v>
      </c>
      <c r="G602" t="s">
        <v>119</v>
      </c>
      <c r="H602" t="s">
        <v>27</v>
      </c>
      <c r="I602" t="s">
        <v>682</v>
      </c>
      <c r="J602">
        <v>62</v>
      </c>
      <c r="K602" t="b">
        <f>TRUE()</f>
        <v>1</v>
      </c>
      <c r="L602" t="s">
        <v>29</v>
      </c>
      <c r="M602" t="s">
        <v>250</v>
      </c>
    </row>
    <row r="603" spans="1:13" x14ac:dyDescent="0.3">
      <c r="A603" t="s">
        <v>683</v>
      </c>
      <c r="B603" s="4">
        <v>42374</v>
      </c>
      <c r="C603">
        <v>2016</v>
      </c>
      <c r="D603">
        <v>1</v>
      </c>
      <c r="E603" t="s">
        <v>16</v>
      </c>
      <c r="F603" t="s">
        <v>458</v>
      </c>
      <c r="G603" t="s">
        <v>119</v>
      </c>
      <c r="H603" t="s">
        <v>27</v>
      </c>
      <c r="I603" t="s">
        <v>577</v>
      </c>
      <c r="J603">
        <v>62</v>
      </c>
      <c r="K603" t="b">
        <f>TRUE()</f>
        <v>1</v>
      </c>
      <c r="L603" t="s">
        <v>29</v>
      </c>
      <c r="M603" t="s">
        <v>250</v>
      </c>
    </row>
    <row r="604" spans="1:13" x14ac:dyDescent="0.3">
      <c r="A604" t="s">
        <v>684</v>
      </c>
      <c r="B604" s="4">
        <v>42384</v>
      </c>
      <c r="C604">
        <v>2016</v>
      </c>
      <c r="D604">
        <v>1</v>
      </c>
      <c r="E604" t="s">
        <v>16</v>
      </c>
      <c r="F604" t="s">
        <v>118</v>
      </c>
      <c r="G604" t="s">
        <v>119</v>
      </c>
      <c r="H604" t="s">
        <v>120</v>
      </c>
      <c r="I604" t="s">
        <v>374</v>
      </c>
      <c r="J604">
        <v>178</v>
      </c>
      <c r="K604" t="b">
        <f>FALSE()</f>
        <v>0</v>
      </c>
      <c r="L604" t="s">
        <v>122</v>
      </c>
      <c r="M604" t="s">
        <v>250</v>
      </c>
    </row>
    <row r="605" spans="1:13" x14ac:dyDescent="0.3">
      <c r="A605" t="s">
        <v>685</v>
      </c>
      <c r="B605" s="4">
        <v>42410</v>
      </c>
      <c r="C605">
        <v>2016</v>
      </c>
      <c r="D605">
        <v>2</v>
      </c>
      <c r="E605" t="s">
        <v>16</v>
      </c>
      <c r="F605" t="s">
        <v>235</v>
      </c>
      <c r="G605" t="s">
        <v>18</v>
      </c>
      <c r="H605" t="s">
        <v>19</v>
      </c>
      <c r="I605" t="s">
        <v>45</v>
      </c>
      <c r="J605">
        <v>50</v>
      </c>
      <c r="K605" t="b">
        <f>FALSE()</f>
        <v>0</v>
      </c>
      <c r="L605" t="s">
        <v>21</v>
      </c>
      <c r="M605" t="s">
        <v>250</v>
      </c>
    </row>
    <row r="606" spans="1:13" x14ac:dyDescent="0.3">
      <c r="A606" t="s">
        <v>686</v>
      </c>
      <c r="B606" s="4">
        <v>42412</v>
      </c>
      <c r="C606">
        <v>2016</v>
      </c>
      <c r="D606">
        <v>2</v>
      </c>
      <c r="E606" t="s">
        <v>16</v>
      </c>
      <c r="F606" t="s">
        <v>58</v>
      </c>
      <c r="G606" t="s">
        <v>18</v>
      </c>
      <c r="H606" t="s">
        <v>59</v>
      </c>
      <c r="I606" t="s">
        <v>687</v>
      </c>
      <c r="J606">
        <v>150</v>
      </c>
      <c r="K606" t="b">
        <f>FALSE()</f>
        <v>0</v>
      </c>
      <c r="L606" t="s">
        <v>343</v>
      </c>
      <c r="M606" t="s">
        <v>250</v>
      </c>
    </row>
    <row r="607" spans="1:13" x14ac:dyDescent="0.3">
      <c r="A607" t="s">
        <v>688</v>
      </c>
      <c r="B607" s="4">
        <v>42415</v>
      </c>
      <c r="C607">
        <v>2016</v>
      </c>
      <c r="D607">
        <v>2</v>
      </c>
      <c r="E607" t="s">
        <v>16</v>
      </c>
      <c r="F607" t="s">
        <v>235</v>
      </c>
      <c r="G607" t="s">
        <v>18</v>
      </c>
      <c r="H607" t="s">
        <v>19</v>
      </c>
      <c r="I607" t="s">
        <v>45</v>
      </c>
      <c r="J607">
        <v>50</v>
      </c>
      <c r="K607" t="b">
        <f>FALSE()</f>
        <v>0</v>
      </c>
      <c r="L607" t="s">
        <v>21</v>
      </c>
      <c r="M607" t="s">
        <v>250</v>
      </c>
    </row>
    <row r="608" spans="1:13" x14ac:dyDescent="0.3">
      <c r="A608" t="s">
        <v>689</v>
      </c>
      <c r="B608" s="4">
        <v>42415</v>
      </c>
      <c r="C608">
        <v>2016</v>
      </c>
      <c r="D608">
        <v>2</v>
      </c>
      <c r="E608" t="s">
        <v>16</v>
      </c>
      <c r="F608" t="s">
        <v>235</v>
      </c>
      <c r="G608" t="s">
        <v>18</v>
      </c>
      <c r="H608" t="s">
        <v>19</v>
      </c>
      <c r="I608" t="s">
        <v>45</v>
      </c>
      <c r="J608">
        <v>50</v>
      </c>
      <c r="K608" t="b">
        <f>FALSE()</f>
        <v>0</v>
      </c>
      <c r="L608" t="s">
        <v>21</v>
      </c>
      <c r="M608" t="s">
        <v>250</v>
      </c>
    </row>
    <row r="609" spans="1:13" x14ac:dyDescent="0.3">
      <c r="A609" t="s">
        <v>690</v>
      </c>
      <c r="B609" s="4">
        <v>42420</v>
      </c>
      <c r="C609">
        <v>2016</v>
      </c>
      <c r="D609">
        <v>2</v>
      </c>
      <c r="E609" t="s">
        <v>16</v>
      </c>
      <c r="F609" t="s">
        <v>130</v>
      </c>
      <c r="G609" t="s">
        <v>18</v>
      </c>
      <c r="H609" t="s">
        <v>131</v>
      </c>
      <c r="I609" t="s">
        <v>248</v>
      </c>
      <c r="J609">
        <v>28</v>
      </c>
      <c r="K609" t="b">
        <f>FALSE()</f>
        <v>0</v>
      </c>
      <c r="L609" t="s">
        <v>249</v>
      </c>
      <c r="M609" t="s">
        <v>250</v>
      </c>
    </row>
    <row r="610" spans="1:13" x14ac:dyDescent="0.3">
      <c r="A610" t="s">
        <v>691</v>
      </c>
      <c r="B610" s="4">
        <v>42444</v>
      </c>
      <c r="C610">
        <v>2016</v>
      </c>
      <c r="D610">
        <v>3</v>
      </c>
      <c r="E610" t="s">
        <v>16</v>
      </c>
      <c r="F610" t="s">
        <v>41</v>
      </c>
      <c r="G610" t="s">
        <v>18</v>
      </c>
      <c r="H610" t="s">
        <v>27</v>
      </c>
      <c r="I610" t="s">
        <v>533</v>
      </c>
      <c r="J610">
        <v>110</v>
      </c>
      <c r="K610" t="b">
        <f>FALSE()</f>
        <v>0</v>
      </c>
      <c r="L610" t="s">
        <v>29</v>
      </c>
      <c r="M610" t="s">
        <v>250</v>
      </c>
    </row>
    <row r="611" spans="1:13" x14ac:dyDescent="0.3">
      <c r="A611" t="s">
        <v>692</v>
      </c>
      <c r="B611" s="4">
        <v>42444</v>
      </c>
      <c r="C611">
        <v>2016</v>
      </c>
      <c r="D611">
        <v>3</v>
      </c>
      <c r="E611" t="s">
        <v>16</v>
      </c>
      <c r="F611" t="s">
        <v>118</v>
      </c>
      <c r="G611" t="s">
        <v>119</v>
      </c>
      <c r="H611" t="s">
        <v>120</v>
      </c>
      <c r="I611" t="s">
        <v>374</v>
      </c>
      <c r="J611">
        <v>178</v>
      </c>
      <c r="K611" t="b">
        <f>FALSE()</f>
        <v>0</v>
      </c>
      <c r="L611" t="s">
        <v>122</v>
      </c>
      <c r="M611" t="s">
        <v>250</v>
      </c>
    </row>
    <row r="612" spans="1:13" x14ac:dyDescent="0.3">
      <c r="A612" t="s">
        <v>693</v>
      </c>
      <c r="B612" s="4">
        <v>42465</v>
      </c>
      <c r="C612">
        <v>2016</v>
      </c>
      <c r="D612">
        <v>4</v>
      </c>
      <c r="E612" t="s">
        <v>16</v>
      </c>
      <c r="F612" t="s">
        <v>458</v>
      </c>
      <c r="G612" t="s">
        <v>119</v>
      </c>
      <c r="H612" t="s">
        <v>27</v>
      </c>
      <c r="I612" t="s">
        <v>577</v>
      </c>
      <c r="J612">
        <v>62</v>
      </c>
      <c r="K612" t="b">
        <f>TRUE()</f>
        <v>1</v>
      </c>
      <c r="L612" t="s">
        <v>29</v>
      </c>
      <c r="M612" t="s">
        <v>250</v>
      </c>
    </row>
    <row r="613" spans="1:13" x14ac:dyDescent="0.3">
      <c r="A613" t="s">
        <v>694</v>
      </c>
      <c r="B613" s="4">
        <v>42502</v>
      </c>
      <c r="C613">
        <v>2016</v>
      </c>
      <c r="D613">
        <v>5</v>
      </c>
      <c r="E613" t="s">
        <v>16</v>
      </c>
      <c r="F613" t="s">
        <v>58</v>
      </c>
      <c r="G613" t="s">
        <v>18</v>
      </c>
      <c r="H613" t="s">
        <v>59</v>
      </c>
      <c r="I613" t="s">
        <v>687</v>
      </c>
      <c r="J613">
        <v>150</v>
      </c>
      <c r="K613" t="b">
        <f>FALSE()</f>
        <v>0</v>
      </c>
      <c r="L613" t="s">
        <v>343</v>
      </c>
      <c r="M613" t="s">
        <v>250</v>
      </c>
    </row>
    <row r="614" spans="1:13" x14ac:dyDescent="0.3">
      <c r="A614" t="s">
        <v>695</v>
      </c>
      <c r="B614" s="4">
        <v>42505</v>
      </c>
      <c r="C614">
        <v>2016</v>
      </c>
      <c r="D614">
        <v>5</v>
      </c>
      <c r="E614" t="s">
        <v>16</v>
      </c>
      <c r="F614" t="s">
        <v>235</v>
      </c>
      <c r="G614" t="s">
        <v>18</v>
      </c>
      <c r="H614" t="s">
        <v>19</v>
      </c>
      <c r="I614" t="s">
        <v>45</v>
      </c>
      <c r="J614">
        <v>50</v>
      </c>
      <c r="K614" t="b">
        <f>FALSE()</f>
        <v>0</v>
      </c>
      <c r="L614" t="s">
        <v>21</v>
      </c>
      <c r="M614" t="s">
        <v>250</v>
      </c>
    </row>
    <row r="615" spans="1:13" x14ac:dyDescent="0.3">
      <c r="A615" t="s">
        <v>696</v>
      </c>
      <c r="B615" s="4">
        <v>42505</v>
      </c>
      <c r="C615">
        <v>2016</v>
      </c>
      <c r="D615">
        <v>5</v>
      </c>
      <c r="E615" t="s">
        <v>16</v>
      </c>
      <c r="F615" t="s">
        <v>118</v>
      </c>
      <c r="G615" t="s">
        <v>119</v>
      </c>
      <c r="H615" t="s">
        <v>120</v>
      </c>
      <c r="I615" t="s">
        <v>374</v>
      </c>
      <c r="J615">
        <v>178</v>
      </c>
      <c r="K615" t="b">
        <f>FALSE()</f>
        <v>0</v>
      </c>
      <c r="L615" t="s">
        <v>122</v>
      </c>
      <c r="M615" t="s">
        <v>250</v>
      </c>
    </row>
    <row r="616" spans="1:13" x14ac:dyDescent="0.3">
      <c r="A616" t="s">
        <v>697</v>
      </c>
      <c r="B616" s="4">
        <v>42531</v>
      </c>
      <c r="C616">
        <v>2016</v>
      </c>
      <c r="D616">
        <v>6</v>
      </c>
      <c r="E616" t="s">
        <v>16</v>
      </c>
      <c r="F616" t="s">
        <v>235</v>
      </c>
      <c r="G616" t="s">
        <v>18</v>
      </c>
      <c r="H616" t="s">
        <v>19</v>
      </c>
      <c r="I616" t="s">
        <v>45</v>
      </c>
      <c r="J616">
        <v>50</v>
      </c>
      <c r="K616" t="b">
        <f>FALSE()</f>
        <v>0</v>
      </c>
      <c r="L616" t="s">
        <v>21</v>
      </c>
      <c r="M616" t="s">
        <v>250</v>
      </c>
    </row>
    <row r="617" spans="1:13" x14ac:dyDescent="0.3">
      <c r="A617" t="s">
        <v>698</v>
      </c>
      <c r="B617" s="4">
        <v>42566</v>
      </c>
      <c r="C617">
        <v>2016</v>
      </c>
      <c r="D617">
        <v>7</v>
      </c>
      <c r="E617" t="s">
        <v>16</v>
      </c>
      <c r="F617" t="s">
        <v>118</v>
      </c>
      <c r="G617" t="s">
        <v>119</v>
      </c>
      <c r="H617" t="s">
        <v>120</v>
      </c>
      <c r="I617" t="s">
        <v>374</v>
      </c>
      <c r="J617">
        <v>178</v>
      </c>
      <c r="K617" t="b">
        <f>FALSE()</f>
        <v>0</v>
      </c>
      <c r="L617" t="s">
        <v>122</v>
      </c>
      <c r="M617" t="s">
        <v>250</v>
      </c>
    </row>
    <row r="618" spans="1:13" x14ac:dyDescent="0.3">
      <c r="A618" t="s">
        <v>699</v>
      </c>
      <c r="B618" s="4">
        <v>42594</v>
      </c>
      <c r="C618">
        <v>2016</v>
      </c>
      <c r="D618">
        <v>8</v>
      </c>
      <c r="E618" t="s">
        <v>16</v>
      </c>
      <c r="F618" t="s">
        <v>58</v>
      </c>
      <c r="G618" t="s">
        <v>18</v>
      </c>
      <c r="H618" t="s">
        <v>59</v>
      </c>
      <c r="I618" t="s">
        <v>687</v>
      </c>
      <c r="J618">
        <v>150</v>
      </c>
      <c r="K618" t="b">
        <f>FALSE()</f>
        <v>0</v>
      </c>
      <c r="L618" t="s">
        <v>343</v>
      </c>
      <c r="M618" t="s">
        <v>250</v>
      </c>
    </row>
    <row r="619" spans="1:13" x14ac:dyDescent="0.3">
      <c r="A619" t="s">
        <v>700</v>
      </c>
      <c r="B619" s="4">
        <v>42597</v>
      </c>
      <c r="C619">
        <v>2016</v>
      </c>
      <c r="D619">
        <v>8</v>
      </c>
      <c r="E619" t="s">
        <v>16</v>
      </c>
      <c r="F619" t="s">
        <v>235</v>
      </c>
      <c r="G619" t="s">
        <v>18</v>
      </c>
      <c r="H619" t="s">
        <v>19</v>
      </c>
      <c r="I619" t="s">
        <v>45</v>
      </c>
      <c r="J619">
        <v>50</v>
      </c>
      <c r="K619" t="b">
        <f>FALSE()</f>
        <v>0</v>
      </c>
      <c r="L619" t="s">
        <v>21</v>
      </c>
      <c r="M619" t="s">
        <v>250</v>
      </c>
    </row>
    <row r="620" spans="1:13" x14ac:dyDescent="0.3">
      <c r="A620" t="s">
        <v>701</v>
      </c>
      <c r="B620" s="4">
        <v>42602</v>
      </c>
      <c r="C620">
        <v>2016</v>
      </c>
      <c r="D620">
        <v>8</v>
      </c>
      <c r="E620" t="s">
        <v>16</v>
      </c>
      <c r="F620" t="s">
        <v>130</v>
      </c>
      <c r="G620" t="s">
        <v>18</v>
      </c>
      <c r="H620" t="s">
        <v>131</v>
      </c>
      <c r="I620" t="s">
        <v>248</v>
      </c>
      <c r="J620">
        <v>28</v>
      </c>
      <c r="K620" t="b">
        <f>FALSE()</f>
        <v>0</v>
      </c>
      <c r="L620" t="s">
        <v>249</v>
      </c>
      <c r="M620" t="s">
        <v>250</v>
      </c>
    </row>
    <row r="621" spans="1:13" x14ac:dyDescent="0.3">
      <c r="A621" t="s">
        <v>702</v>
      </c>
      <c r="B621" s="4">
        <v>42628</v>
      </c>
      <c r="C621">
        <v>2016</v>
      </c>
      <c r="D621">
        <v>9</v>
      </c>
      <c r="E621" t="s">
        <v>16</v>
      </c>
      <c r="F621" t="s">
        <v>41</v>
      </c>
      <c r="G621" t="s">
        <v>18</v>
      </c>
      <c r="H621" t="s">
        <v>27</v>
      </c>
      <c r="I621" t="s">
        <v>533</v>
      </c>
      <c r="J621">
        <v>110</v>
      </c>
      <c r="K621" t="b">
        <f>FALSE()</f>
        <v>0</v>
      </c>
      <c r="L621" t="s">
        <v>29</v>
      </c>
      <c r="M621" t="s">
        <v>250</v>
      </c>
    </row>
    <row r="622" spans="1:13" x14ac:dyDescent="0.3">
      <c r="A622" t="s">
        <v>703</v>
      </c>
      <c r="B622" s="4">
        <v>42653</v>
      </c>
      <c r="C622">
        <v>2016</v>
      </c>
      <c r="D622">
        <v>10</v>
      </c>
      <c r="E622" t="s">
        <v>16</v>
      </c>
      <c r="F622" t="s">
        <v>235</v>
      </c>
      <c r="G622" t="s">
        <v>18</v>
      </c>
      <c r="H622" t="s">
        <v>19</v>
      </c>
      <c r="I622" t="s">
        <v>45</v>
      </c>
      <c r="J622">
        <v>50</v>
      </c>
      <c r="K622" t="b">
        <f>FALSE()</f>
        <v>0</v>
      </c>
      <c r="L622" t="s">
        <v>21</v>
      </c>
      <c r="M622" t="s">
        <v>250</v>
      </c>
    </row>
    <row r="623" spans="1:13" x14ac:dyDescent="0.3">
      <c r="A623" t="s">
        <v>704</v>
      </c>
      <c r="B623" s="4">
        <v>42686</v>
      </c>
      <c r="C623">
        <v>2016</v>
      </c>
      <c r="D623">
        <v>11</v>
      </c>
      <c r="E623" t="s">
        <v>16</v>
      </c>
      <c r="F623" t="s">
        <v>58</v>
      </c>
      <c r="G623" t="s">
        <v>18</v>
      </c>
      <c r="H623" t="s">
        <v>59</v>
      </c>
      <c r="I623" t="s">
        <v>687</v>
      </c>
      <c r="J623">
        <v>150</v>
      </c>
      <c r="K623" t="b">
        <f>FALSE()</f>
        <v>0</v>
      </c>
      <c r="L623" t="s">
        <v>343</v>
      </c>
      <c r="M623" t="s">
        <v>250</v>
      </c>
    </row>
    <row r="624" spans="1:13" x14ac:dyDescent="0.3">
      <c r="A624" t="s">
        <v>705</v>
      </c>
      <c r="B624" s="4">
        <v>42689</v>
      </c>
      <c r="C624">
        <v>2016</v>
      </c>
      <c r="D624">
        <v>11</v>
      </c>
      <c r="E624" t="s">
        <v>16</v>
      </c>
      <c r="F624" t="s">
        <v>235</v>
      </c>
      <c r="G624" t="s">
        <v>18</v>
      </c>
      <c r="H624" t="s">
        <v>19</v>
      </c>
      <c r="I624" t="s">
        <v>45</v>
      </c>
      <c r="J624">
        <v>50</v>
      </c>
      <c r="K624" t="b">
        <f>FALSE()</f>
        <v>0</v>
      </c>
      <c r="L624" t="s">
        <v>21</v>
      </c>
      <c r="M624" t="s">
        <v>250</v>
      </c>
    </row>
    <row r="625" spans="1:13" x14ac:dyDescent="0.3">
      <c r="A625" t="s">
        <v>706</v>
      </c>
      <c r="B625" s="4">
        <v>42716</v>
      </c>
      <c r="C625">
        <v>2016</v>
      </c>
      <c r="D625">
        <v>12</v>
      </c>
      <c r="E625" t="s">
        <v>16</v>
      </c>
      <c r="F625" t="s">
        <v>58</v>
      </c>
      <c r="G625" t="s">
        <v>18</v>
      </c>
      <c r="H625" t="s">
        <v>59</v>
      </c>
      <c r="I625" t="s">
        <v>687</v>
      </c>
      <c r="J625">
        <v>150</v>
      </c>
      <c r="K625" t="b">
        <f>FALSE()</f>
        <v>0</v>
      </c>
      <c r="L625" t="s">
        <v>343</v>
      </c>
      <c r="M625" t="s">
        <v>250</v>
      </c>
    </row>
    <row r="626" spans="1:13" x14ac:dyDescent="0.3">
      <c r="A626" t="s">
        <v>707</v>
      </c>
      <c r="B626" s="4">
        <v>42716</v>
      </c>
      <c r="C626">
        <v>2016</v>
      </c>
      <c r="D626">
        <v>12</v>
      </c>
      <c r="E626" t="s">
        <v>16</v>
      </c>
      <c r="F626" t="s">
        <v>58</v>
      </c>
      <c r="G626" t="s">
        <v>18</v>
      </c>
      <c r="H626" t="s">
        <v>59</v>
      </c>
      <c r="I626" t="s">
        <v>687</v>
      </c>
      <c r="J626">
        <v>150</v>
      </c>
      <c r="K626" t="b">
        <f>FALSE()</f>
        <v>0</v>
      </c>
      <c r="L626" t="s">
        <v>343</v>
      </c>
      <c r="M626" t="s">
        <v>250</v>
      </c>
    </row>
    <row r="627" spans="1:13" x14ac:dyDescent="0.3">
      <c r="A627" t="s">
        <v>708</v>
      </c>
      <c r="B627" s="4">
        <v>42740</v>
      </c>
      <c r="C627">
        <v>2017</v>
      </c>
      <c r="D627">
        <v>1</v>
      </c>
      <c r="E627" t="s">
        <v>16</v>
      </c>
      <c r="F627" t="s">
        <v>458</v>
      </c>
      <c r="G627" t="s">
        <v>119</v>
      </c>
      <c r="H627" t="s">
        <v>27</v>
      </c>
      <c r="I627" t="s">
        <v>577</v>
      </c>
      <c r="J627">
        <v>62</v>
      </c>
      <c r="K627" t="b">
        <f>TRUE()</f>
        <v>1</v>
      </c>
      <c r="L627" t="s">
        <v>29</v>
      </c>
      <c r="M627" t="s">
        <v>250</v>
      </c>
    </row>
    <row r="628" spans="1:13" x14ac:dyDescent="0.3">
      <c r="A628" t="s">
        <v>709</v>
      </c>
      <c r="B628" s="4">
        <v>42750</v>
      </c>
      <c r="C628">
        <v>2017</v>
      </c>
      <c r="D628">
        <v>1</v>
      </c>
      <c r="E628" t="s">
        <v>16</v>
      </c>
      <c r="F628" t="s">
        <v>118</v>
      </c>
      <c r="G628" t="s">
        <v>119</v>
      </c>
      <c r="H628" t="s">
        <v>120</v>
      </c>
      <c r="I628" t="s">
        <v>374</v>
      </c>
      <c r="J628">
        <v>178</v>
      </c>
      <c r="K628" t="b">
        <f>FALSE()</f>
        <v>0</v>
      </c>
      <c r="L628" t="s">
        <v>122</v>
      </c>
      <c r="M628" t="s">
        <v>250</v>
      </c>
    </row>
    <row r="629" spans="1:13" x14ac:dyDescent="0.3">
      <c r="A629" t="s">
        <v>710</v>
      </c>
      <c r="B629" s="4">
        <v>42776</v>
      </c>
      <c r="C629">
        <v>2017</v>
      </c>
      <c r="D629">
        <v>2</v>
      </c>
      <c r="E629" t="s">
        <v>16</v>
      </c>
      <c r="F629" t="s">
        <v>235</v>
      </c>
      <c r="G629" t="s">
        <v>18</v>
      </c>
      <c r="H629" t="s">
        <v>19</v>
      </c>
      <c r="I629" t="s">
        <v>45</v>
      </c>
      <c r="J629">
        <v>50</v>
      </c>
      <c r="K629" t="b">
        <f>FALSE()</f>
        <v>0</v>
      </c>
      <c r="L629" t="s">
        <v>21</v>
      </c>
      <c r="M629" t="s">
        <v>250</v>
      </c>
    </row>
    <row r="630" spans="1:13" x14ac:dyDescent="0.3">
      <c r="A630" t="s">
        <v>711</v>
      </c>
      <c r="B630" s="4">
        <v>42778</v>
      </c>
      <c r="C630">
        <v>2017</v>
      </c>
      <c r="D630">
        <v>2</v>
      </c>
      <c r="E630" t="s">
        <v>16</v>
      </c>
      <c r="F630" t="s">
        <v>58</v>
      </c>
      <c r="G630" t="s">
        <v>18</v>
      </c>
      <c r="H630" t="s">
        <v>59</v>
      </c>
      <c r="I630" t="s">
        <v>687</v>
      </c>
      <c r="J630">
        <v>150</v>
      </c>
      <c r="K630" t="b">
        <f>FALSE()</f>
        <v>0</v>
      </c>
      <c r="L630" t="s">
        <v>343</v>
      </c>
      <c r="M630" t="s">
        <v>250</v>
      </c>
    </row>
    <row r="631" spans="1:13" x14ac:dyDescent="0.3">
      <c r="A631" t="s">
        <v>712</v>
      </c>
      <c r="B631" s="4">
        <v>42781</v>
      </c>
      <c r="C631">
        <v>2017</v>
      </c>
      <c r="D631">
        <v>2</v>
      </c>
      <c r="E631" t="s">
        <v>16</v>
      </c>
      <c r="F631" t="s">
        <v>235</v>
      </c>
      <c r="G631" t="s">
        <v>18</v>
      </c>
      <c r="H631" t="s">
        <v>19</v>
      </c>
      <c r="I631" t="s">
        <v>45</v>
      </c>
      <c r="J631">
        <v>50</v>
      </c>
      <c r="K631" t="b">
        <f>FALSE()</f>
        <v>0</v>
      </c>
      <c r="L631" t="s">
        <v>21</v>
      </c>
      <c r="M631" t="s">
        <v>250</v>
      </c>
    </row>
    <row r="632" spans="1:13" x14ac:dyDescent="0.3">
      <c r="A632" t="s">
        <v>713</v>
      </c>
      <c r="B632" s="4">
        <v>42781</v>
      </c>
      <c r="C632">
        <v>2017</v>
      </c>
      <c r="D632">
        <v>2</v>
      </c>
      <c r="E632" t="s">
        <v>16</v>
      </c>
      <c r="F632" t="s">
        <v>235</v>
      </c>
      <c r="G632" t="s">
        <v>18</v>
      </c>
      <c r="H632" t="s">
        <v>19</v>
      </c>
      <c r="I632" t="s">
        <v>45</v>
      </c>
      <c r="J632">
        <v>50</v>
      </c>
      <c r="K632" t="b">
        <f>FALSE()</f>
        <v>0</v>
      </c>
      <c r="L632" t="s">
        <v>21</v>
      </c>
      <c r="M632" t="s">
        <v>250</v>
      </c>
    </row>
    <row r="633" spans="1:13" x14ac:dyDescent="0.3">
      <c r="A633" t="s">
        <v>714</v>
      </c>
      <c r="B633" s="4">
        <v>42786</v>
      </c>
      <c r="C633">
        <v>2017</v>
      </c>
      <c r="D633">
        <v>2</v>
      </c>
      <c r="E633" t="s">
        <v>16</v>
      </c>
      <c r="F633" t="s">
        <v>130</v>
      </c>
      <c r="G633" t="s">
        <v>18</v>
      </c>
      <c r="H633" t="s">
        <v>131</v>
      </c>
      <c r="I633" t="s">
        <v>248</v>
      </c>
      <c r="J633">
        <v>28</v>
      </c>
      <c r="K633" t="b">
        <f>FALSE()</f>
        <v>0</v>
      </c>
      <c r="L633" t="s">
        <v>249</v>
      </c>
      <c r="M633" t="s">
        <v>250</v>
      </c>
    </row>
    <row r="634" spans="1:13" x14ac:dyDescent="0.3">
      <c r="A634" t="s">
        <v>715</v>
      </c>
      <c r="B634" s="4">
        <v>42809</v>
      </c>
      <c r="C634">
        <v>2017</v>
      </c>
      <c r="D634">
        <v>3</v>
      </c>
      <c r="E634" t="s">
        <v>16</v>
      </c>
      <c r="F634" t="s">
        <v>41</v>
      </c>
      <c r="G634" t="s">
        <v>18</v>
      </c>
      <c r="H634" t="s">
        <v>27</v>
      </c>
      <c r="I634" t="s">
        <v>533</v>
      </c>
      <c r="J634">
        <v>110</v>
      </c>
      <c r="K634" t="b">
        <f>FALSE()</f>
        <v>0</v>
      </c>
      <c r="L634" t="s">
        <v>29</v>
      </c>
      <c r="M634" t="s">
        <v>250</v>
      </c>
    </row>
    <row r="635" spans="1:13" x14ac:dyDescent="0.3">
      <c r="A635" t="s">
        <v>716</v>
      </c>
      <c r="B635" s="4">
        <v>42809</v>
      </c>
      <c r="C635">
        <v>2017</v>
      </c>
      <c r="D635">
        <v>3</v>
      </c>
      <c r="E635" t="s">
        <v>16</v>
      </c>
      <c r="F635" t="s">
        <v>118</v>
      </c>
      <c r="G635" t="s">
        <v>119</v>
      </c>
      <c r="H635" t="s">
        <v>120</v>
      </c>
      <c r="I635" t="s">
        <v>374</v>
      </c>
      <c r="J635">
        <v>178</v>
      </c>
      <c r="K635" t="b">
        <f>FALSE()</f>
        <v>0</v>
      </c>
      <c r="L635" t="s">
        <v>122</v>
      </c>
      <c r="M635" t="s">
        <v>250</v>
      </c>
    </row>
    <row r="636" spans="1:13" x14ac:dyDescent="0.3">
      <c r="A636" t="s">
        <v>717</v>
      </c>
      <c r="B636" s="4">
        <v>42830</v>
      </c>
      <c r="C636">
        <v>2017</v>
      </c>
      <c r="D636">
        <v>4</v>
      </c>
      <c r="E636" t="s">
        <v>16</v>
      </c>
      <c r="F636" t="s">
        <v>458</v>
      </c>
      <c r="G636" t="s">
        <v>119</v>
      </c>
      <c r="H636" t="s">
        <v>27</v>
      </c>
      <c r="I636" t="s">
        <v>577</v>
      </c>
      <c r="J636">
        <v>62</v>
      </c>
      <c r="K636" t="b">
        <f>TRUE()</f>
        <v>1</v>
      </c>
      <c r="L636" t="s">
        <v>29</v>
      </c>
      <c r="M636" t="s">
        <v>250</v>
      </c>
    </row>
    <row r="637" spans="1:13" x14ac:dyDescent="0.3">
      <c r="A637" t="s">
        <v>718</v>
      </c>
      <c r="B637" s="4">
        <v>42867</v>
      </c>
      <c r="C637">
        <v>2017</v>
      </c>
      <c r="D637">
        <v>5</v>
      </c>
      <c r="E637" t="s">
        <v>16</v>
      </c>
      <c r="F637" t="s">
        <v>58</v>
      </c>
      <c r="G637" t="s">
        <v>18</v>
      </c>
      <c r="H637" t="s">
        <v>59</v>
      </c>
      <c r="I637" t="s">
        <v>687</v>
      </c>
      <c r="J637">
        <v>150</v>
      </c>
      <c r="K637" t="b">
        <f>FALSE()</f>
        <v>0</v>
      </c>
      <c r="L637" t="s">
        <v>343</v>
      </c>
      <c r="M637" t="s">
        <v>250</v>
      </c>
    </row>
    <row r="638" spans="1:13" x14ac:dyDescent="0.3">
      <c r="A638" t="s">
        <v>719</v>
      </c>
      <c r="B638" s="4">
        <v>42870</v>
      </c>
      <c r="C638">
        <v>2017</v>
      </c>
      <c r="D638">
        <v>5</v>
      </c>
      <c r="E638" t="s">
        <v>16</v>
      </c>
      <c r="F638" t="s">
        <v>235</v>
      </c>
      <c r="G638" t="s">
        <v>18</v>
      </c>
      <c r="H638" t="s">
        <v>19</v>
      </c>
      <c r="I638" t="s">
        <v>45</v>
      </c>
      <c r="J638">
        <v>50</v>
      </c>
      <c r="K638" t="b">
        <f>FALSE()</f>
        <v>0</v>
      </c>
      <c r="L638" t="s">
        <v>21</v>
      </c>
      <c r="M638" t="s">
        <v>250</v>
      </c>
    </row>
    <row r="639" spans="1:13" x14ac:dyDescent="0.3">
      <c r="A639" t="s">
        <v>720</v>
      </c>
      <c r="B639" s="4">
        <v>42870</v>
      </c>
      <c r="C639">
        <v>2017</v>
      </c>
      <c r="D639">
        <v>5</v>
      </c>
      <c r="E639" t="s">
        <v>16</v>
      </c>
      <c r="F639" t="s">
        <v>118</v>
      </c>
      <c r="G639" t="s">
        <v>119</v>
      </c>
      <c r="H639" t="s">
        <v>120</v>
      </c>
      <c r="I639" t="s">
        <v>374</v>
      </c>
      <c r="J639">
        <v>178</v>
      </c>
      <c r="K639" t="b">
        <f>FALSE()</f>
        <v>0</v>
      </c>
      <c r="L639" t="s">
        <v>122</v>
      </c>
      <c r="M639" t="s">
        <v>250</v>
      </c>
    </row>
    <row r="640" spans="1:13" x14ac:dyDescent="0.3">
      <c r="A640" t="s">
        <v>721</v>
      </c>
      <c r="B640" s="4">
        <v>42880</v>
      </c>
      <c r="C640">
        <v>2017</v>
      </c>
      <c r="D640">
        <v>5</v>
      </c>
      <c r="E640" t="s">
        <v>25</v>
      </c>
      <c r="F640" t="s">
        <v>722</v>
      </c>
      <c r="G640" t="s">
        <v>119</v>
      </c>
      <c r="H640" t="s">
        <v>723</v>
      </c>
      <c r="I640" t="s">
        <v>724</v>
      </c>
      <c r="J640">
        <v>7.5</v>
      </c>
      <c r="K640" t="b">
        <f>FALSE()</f>
        <v>0</v>
      </c>
      <c r="L640" t="s">
        <v>725</v>
      </c>
      <c r="M640" t="s">
        <v>250</v>
      </c>
    </row>
    <row r="641" spans="1:13" x14ac:dyDescent="0.3">
      <c r="A641" t="s">
        <v>726</v>
      </c>
      <c r="B641" s="4">
        <v>42896</v>
      </c>
      <c r="C641">
        <v>2017</v>
      </c>
      <c r="D641">
        <v>6</v>
      </c>
      <c r="E641" t="s">
        <v>16</v>
      </c>
      <c r="F641" t="s">
        <v>235</v>
      </c>
      <c r="G641" t="s">
        <v>18</v>
      </c>
      <c r="H641" t="s">
        <v>19</v>
      </c>
      <c r="I641" t="s">
        <v>45</v>
      </c>
      <c r="J641">
        <v>50</v>
      </c>
      <c r="K641" t="b">
        <f>FALSE()</f>
        <v>0</v>
      </c>
      <c r="L641" t="s">
        <v>21</v>
      </c>
      <c r="M641" t="s">
        <v>250</v>
      </c>
    </row>
    <row r="642" spans="1:13" x14ac:dyDescent="0.3">
      <c r="A642" t="s">
        <v>727</v>
      </c>
      <c r="B642" s="4">
        <v>42931</v>
      </c>
      <c r="C642">
        <v>2017</v>
      </c>
      <c r="D642">
        <v>7</v>
      </c>
      <c r="E642" t="s">
        <v>16</v>
      </c>
      <c r="F642" t="s">
        <v>118</v>
      </c>
      <c r="G642" t="s">
        <v>119</v>
      </c>
      <c r="H642" t="s">
        <v>120</v>
      </c>
      <c r="I642" t="s">
        <v>374</v>
      </c>
      <c r="J642">
        <v>178</v>
      </c>
      <c r="K642" t="b">
        <f>FALSE()</f>
        <v>0</v>
      </c>
      <c r="L642" t="s">
        <v>122</v>
      </c>
      <c r="M642" t="s">
        <v>250</v>
      </c>
    </row>
    <row r="643" spans="1:13" x14ac:dyDescent="0.3">
      <c r="A643" t="s">
        <v>728</v>
      </c>
      <c r="B643" s="4">
        <v>42959</v>
      </c>
      <c r="C643">
        <v>2017</v>
      </c>
      <c r="D643">
        <v>8</v>
      </c>
      <c r="E643" t="s">
        <v>16</v>
      </c>
      <c r="F643" t="s">
        <v>58</v>
      </c>
      <c r="G643" t="s">
        <v>18</v>
      </c>
      <c r="H643" t="s">
        <v>59</v>
      </c>
      <c r="I643" t="s">
        <v>687</v>
      </c>
      <c r="J643">
        <v>150</v>
      </c>
      <c r="K643" t="b">
        <f>FALSE()</f>
        <v>0</v>
      </c>
      <c r="L643" t="s">
        <v>343</v>
      </c>
      <c r="M643" t="s">
        <v>250</v>
      </c>
    </row>
    <row r="644" spans="1:13" x14ac:dyDescent="0.3">
      <c r="A644" t="s">
        <v>729</v>
      </c>
      <c r="B644" s="4">
        <v>42962</v>
      </c>
      <c r="C644">
        <v>2017</v>
      </c>
      <c r="D644">
        <v>8</v>
      </c>
      <c r="E644" t="s">
        <v>16</v>
      </c>
      <c r="F644" t="s">
        <v>235</v>
      </c>
      <c r="G644" t="s">
        <v>18</v>
      </c>
      <c r="H644" t="s">
        <v>19</v>
      </c>
      <c r="I644" t="s">
        <v>45</v>
      </c>
      <c r="J644">
        <v>50</v>
      </c>
      <c r="K644" t="b">
        <f>FALSE()</f>
        <v>0</v>
      </c>
      <c r="L644" t="s">
        <v>21</v>
      </c>
      <c r="M644" t="s">
        <v>250</v>
      </c>
    </row>
    <row r="645" spans="1:13" x14ac:dyDescent="0.3">
      <c r="A645" t="s">
        <v>730</v>
      </c>
      <c r="B645" s="4">
        <v>42967</v>
      </c>
      <c r="C645">
        <v>2017</v>
      </c>
      <c r="D645">
        <v>8</v>
      </c>
      <c r="E645" t="s">
        <v>16</v>
      </c>
      <c r="F645" t="s">
        <v>130</v>
      </c>
      <c r="G645" t="s">
        <v>18</v>
      </c>
      <c r="H645" t="s">
        <v>131</v>
      </c>
      <c r="I645" t="s">
        <v>248</v>
      </c>
      <c r="J645">
        <v>28</v>
      </c>
      <c r="K645" t="b">
        <f>FALSE()</f>
        <v>0</v>
      </c>
      <c r="L645" t="s">
        <v>249</v>
      </c>
      <c r="M645" t="s">
        <v>250</v>
      </c>
    </row>
    <row r="646" spans="1:13" x14ac:dyDescent="0.3">
      <c r="A646" t="s">
        <v>731</v>
      </c>
      <c r="B646" s="4">
        <v>42993</v>
      </c>
      <c r="C646">
        <v>2017</v>
      </c>
      <c r="D646">
        <v>9</v>
      </c>
      <c r="E646" t="s">
        <v>16</v>
      </c>
      <c r="F646" t="s">
        <v>41</v>
      </c>
      <c r="G646" t="s">
        <v>18</v>
      </c>
      <c r="H646" t="s">
        <v>27</v>
      </c>
      <c r="I646" t="s">
        <v>533</v>
      </c>
      <c r="J646">
        <v>110</v>
      </c>
      <c r="K646" t="b">
        <f>FALSE()</f>
        <v>0</v>
      </c>
      <c r="L646" t="s">
        <v>29</v>
      </c>
      <c r="M646" t="s">
        <v>250</v>
      </c>
    </row>
    <row r="647" spans="1:13" x14ac:dyDescent="0.3">
      <c r="A647" t="s">
        <v>732</v>
      </c>
      <c r="B647" s="4">
        <v>43018</v>
      </c>
      <c r="C647">
        <v>2017</v>
      </c>
      <c r="D647">
        <v>10</v>
      </c>
      <c r="E647" t="s">
        <v>16</v>
      </c>
      <c r="F647" t="s">
        <v>235</v>
      </c>
      <c r="G647" t="s">
        <v>18</v>
      </c>
      <c r="H647" t="s">
        <v>19</v>
      </c>
      <c r="I647" t="s">
        <v>45</v>
      </c>
      <c r="J647">
        <v>50</v>
      </c>
      <c r="K647" t="b">
        <f>FALSE()</f>
        <v>0</v>
      </c>
      <c r="L647" t="s">
        <v>21</v>
      </c>
      <c r="M647" t="s">
        <v>250</v>
      </c>
    </row>
    <row r="648" spans="1:13" x14ac:dyDescent="0.3">
      <c r="A648" t="s">
        <v>733</v>
      </c>
      <c r="B648" s="4">
        <v>43051</v>
      </c>
      <c r="C648">
        <v>2017</v>
      </c>
      <c r="D648">
        <v>11</v>
      </c>
      <c r="E648" t="s">
        <v>16</v>
      </c>
      <c r="F648" t="s">
        <v>58</v>
      </c>
      <c r="G648" t="s">
        <v>18</v>
      </c>
      <c r="H648" t="s">
        <v>59</v>
      </c>
      <c r="I648" t="s">
        <v>687</v>
      </c>
      <c r="J648">
        <v>150</v>
      </c>
      <c r="K648" t="b">
        <f>FALSE()</f>
        <v>0</v>
      </c>
      <c r="L648" t="s">
        <v>343</v>
      </c>
      <c r="M648" t="s">
        <v>250</v>
      </c>
    </row>
    <row r="649" spans="1:13" x14ac:dyDescent="0.3">
      <c r="A649" t="s">
        <v>734</v>
      </c>
      <c r="B649" s="4">
        <v>43054</v>
      </c>
      <c r="C649">
        <v>2017</v>
      </c>
      <c r="D649">
        <v>11</v>
      </c>
      <c r="E649" t="s">
        <v>16</v>
      </c>
      <c r="F649" t="s">
        <v>235</v>
      </c>
      <c r="G649" t="s">
        <v>18</v>
      </c>
      <c r="H649" t="s">
        <v>19</v>
      </c>
      <c r="I649" t="s">
        <v>45</v>
      </c>
      <c r="J649">
        <v>50</v>
      </c>
      <c r="K649" t="b">
        <f>FALSE()</f>
        <v>0</v>
      </c>
      <c r="L649" t="s">
        <v>21</v>
      </c>
      <c r="M649" t="s">
        <v>250</v>
      </c>
    </row>
    <row r="650" spans="1:13" x14ac:dyDescent="0.3">
      <c r="A650" t="s">
        <v>735</v>
      </c>
      <c r="B650" s="4">
        <v>43081</v>
      </c>
      <c r="C650">
        <v>2017</v>
      </c>
      <c r="D650">
        <v>12</v>
      </c>
      <c r="E650" t="s">
        <v>16</v>
      </c>
      <c r="F650" t="s">
        <v>58</v>
      </c>
      <c r="G650" t="s">
        <v>18</v>
      </c>
      <c r="H650" t="s">
        <v>59</v>
      </c>
      <c r="I650" t="s">
        <v>687</v>
      </c>
      <c r="J650">
        <v>150</v>
      </c>
      <c r="K650" t="b">
        <f>FALSE()</f>
        <v>0</v>
      </c>
      <c r="L650" t="s">
        <v>343</v>
      </c>
      <c r="M650" t="s">
        <v>250</v>
      </c>
    </row>
    <row r="651" spans="1:13" x14ac:dyDescent="0.3">
      <c r="A651" t="s">
        <v>736</v>
      </c>
      <c r="B651" s="4">
        <v>43081</v>
      </c>
      <c r="C651">
        <v>2017</v>
      </c>
      <c r="D651">
        <v>12</v>
      </c>
      <c r="E651" t="s">
        <v>16</v>
      </c>
      <c r="F651" t="s">
        <v>58</v>
      </c>
      <c r="G651" t="s">
        <v>18</v>
      </c>
      <c r="H651" t="s">
        <v>59</v>
      </c>
      <c r="I651" t="s">
        <v>687</v>
      </c>
      <c r="J651">
        <v>150</v>
      </c>
      <c r="K651" t="b">
        <f>FALSE()</f>
        <v>0</v>
      </c>
      <c r="L651" t="s">
        <v>343</v>
      </c>
      <c r="M651" t="s">
        <v>250</v>
      </c>
    </row>
    <row r="652" spans="1:13" x14ac:dyDescent="0.3">
      <c r="A652" t="s">
        <v>737</v>
      </c>
      <c r="B652" s="4">
        <v>43105</v>
      </c>
      <c r="C652">
        <v>2018</v>
      </c>
      <c r="D652">
        <v>1</v>
      </c>
      <c r="E652" t="s">
        <v>16</v>
      </c>
      <c r="F652" t="s">
        <v>458</v>
      </c>
      <c r="G652" t="s">
        <v>119</v>
      </c>
      <c r="H652" t="s">
        <v>27</v>
      </c>
      <c r="I652" t="s">
        <v>738</v>
      </c>
      <c r="J652">
        <v>62</v>
      </c>
      <c r="K652" t="b">
        <f>TRUE()</f>
        <v>1</v>
      </c>
      <c r="L652" t="s">
        <v>29</v>
      </c>
      <c r="M652" t="s">
        <v>250</v>
      </c>
    </row>
    <row r="653" spans="1:13" x14ac:dyDescent="0.3">
      <c r="A653" t="s">
        <v>739</v>
      </c>
      <c r="B653" s="4">
        <v>43115</v>
      </c>
      <c r="C653">
        <v>2018</v>
      </c>
      <c r="D653">
        <v>1</v>
      </c>
      <c r="E653" t="s">
        <v>16</v>
      </c>
      <c r="F653" t="s">
        <v>118</v>
      </c>
      <c r="G653" t="s">
        <v>119</v>
      </c>
      <c r="H653" t="s">
        <v>120</v>
      </c>
      <c r="I653" t="s">
        <v>374</v>
      </c>
      <c r="J653">
        <v>178</v>
      </c>
      <c r="K653" t="b">
        <f>FALSE()</f>
        <v>0</v>
      </c>
      <c r="L653" t="s">
        <v>122</v>
      </c>
      <c r="M653" t="s">
        <v>250</v>
      </c>
    </row>
    <row r="654" spans="1:13" x14ac:dyDescent="0.3">
      <c r="A654" t="s">
        <v>740</v>
      </c>
      <c r="B654" s="4">
        <v>43121</v>
      </c>
      <c r="C654">
        <v>2018</v>
      </c>
      <c r="D654">
        <v>1</v>
      </c>
      <c r="E654" t="s">
        <v>16</v>
      </c>
      <c r="F654" t="s">
        <v>722</v>
      </c>
      <c r="G654" t="s">
        <v>119</v>
      </c>
      <c r="H654" t="s">
        <v>723</v>
      </c>
      <c r="I654" t="s">
        <v>724</v>
      </c>
      <c r="J654">
        <v>7.5</v>
      </c>
      <c r="K654" t="b">
        <f>FALSE()</f>
        <v>0</v>
      </c>
      <c r="L654" t="s">
        <v>725</v>
      </c>
      <c r="M654" t="s">
        <v>250</v>
      </c>
    </row>
    <row r="655" spans="1:13" x14ac:dyDescent="0.3">
      <c r="A655" t="s">
        <v>741</v>
      </c>
      <c r="B655" s="4">
        <v>43137</v>
      </c>
      <c r="C655">
        <v>2018</v>
      </c>
      <c r="D655">
        <v>2</v>
      </c>
      <c r="E655" t="s">
        <v>16</v>
      </c>
      <c r="F655" t="s">
        <v>458</v>
      </c>
      <c r="G655" t="s">
        <v>119</v>
      </c>
      <c r="H655" t="s">
        <v>27</v>
      </c>
      <c r="I655" t="s">
        <v>742</v>
      </c>
      <c r="J655">
        <v>97</v>
      </c>
      <c r="K655" t="b">
        <f>TRUE()</f>
        <v>1</v>
      </c>
      <c r="L655" t="s">
        <v>53</v>
      </c>
      <c r="M655" t="s">
        <v>250</v>
      </c>
    </row>
    <row r="656" spans="1:13" x14ac:dyDescent="0.3">
      <c r="A656" t="s">
        <v>743</v>
      </c>
      <c r="B656" s="4">
        <v>43141</v>
      </c>
      <c r="C656">
        <v>2018</v>
      </c>
      <c r="D656">
        <v>2</v>
      </c>
      <c r="E656" t="s">
        <v>16</v>
      </c>
      <c r="F656" t="s">
        <v>235</v>
      </c>
      <c r="G656" t="s">
        <v>18</v>
      </c>
      <c r="H656" t="s">
        <v>19</v>
      </c>
      <c r="I656" t="s">
        <v>45</v>
      </c>
      <c r="J656">
        <v>50</v>
      </c>
      <c r="K656" t="b">
        <f>FALSE()</f>
        <v>0</v>
      </c>
      <c r="L656" t="s">
        <v>21</v>
      </c>
      <c r="M656" t="s">
        <v>250</v>
      </c>
    </row>
    <row r="657" spans="1:13" x14ac:dyDescent="0.3">
      <c r="A657" t="s">
        <v>744</v>
      </c>
      <c r="B657" s="4">
        <v>43143</v>
      </c>
      <c r="C657">
        <v>2018</v>
      </c>
      <c r="D657">
        <v>2</v>
      </c>
      <c r="E657" t="s">
        <v>16</v>
      </c>
      <c r="F657" t="s">
        <v>58</v>
      </c>
      <c r="G657" t="s">
        <v>18</v>
      </c>
      <c r="H657" t="s">
        <v>59</v>
      </c>
      <c r="I657" t="s">
        <v>687</v>
      </c>
      <c r="J657">
        <v>150</v>
      </c>
      <c r="K657" t="b">
        <f>FALSE()</f>
        <v>0</v>
      </c>
      <c r="L657" t="s">
        <v>343</v>
      </c>
      <c r="M657" t="s">
        <v>250</v>
      </c>
    </row>
    <row r="658" spans="1:13" x14ac:dyDescent="0.3">
      <c r="A658" t="s">
        <v>745</v>
      </c>
      <c r="B658" s="4">
        <v>43146</v>
      </c>
      <c r="C658">
        <v>2018</v>
      </c>
      <c r="D658">
        <v>2</v>
      </c>
      <c r="E658" t="s">
        <v>16</v>
      </c>
      <c r="F658" t="s">
        <v>235</v>
      </c>
      <c r="G658" t="s">
        <v>18</v>
      </c>
      <c r="H658" t="s">
        <v>19</v>
      </c>
      <c r="I658" t="s">
        <v>45</v>
      </c>
      <c r="J658">
        <v>50</v>
      </c>
      <c r="K658" t="b">
        <f>FALSE()</f>
        <v>0</v>
      </c>
      <c r="L658" t="s">
        <v>21</v>
      </c>
      <c r="M658" t="s">
        <v>250</v>
      </c>
    </row>
    <row r="659" spans="1:13" x14ac:dyDescent="0.3">
      <c r="A659" t="s">
        <v>746</v>
      </c>
      <c r="B659" s="4">
        <v>43146</v>
      </c>
      <c r="C659">
        <v>2018</v>
      </c>
      <c r="D659">
        <v>2</v>
      </c>
      <c r="E659" t="s">
        <v>16</v>
      </c>
      <c r="F659" t="s">
        <v>235</v>
      </c>
      <c r="G659" t="s">
        <v>18</v>
      </c>
      <c r="H659" t="s">
        <v>19</v>
      </c>
      <c r="I659" t="s">
        <v>45</v>
      </c>
      <c r="J659">
        <v>50</v>
      </c>
      <c r="K659" t="b">
        <f>FALSE()</f>
        <v>0</v>
      </c>
      <c r="L659" t="s">
        <v>21</v>
      </c>
      <c r="M659" t="s">
        <v>250</v>
      </c>
    </row>
    <row r="660" spans="1:13" x14ac:dyDescent="0.3">
      <c r="A660" t="s">
        <v>747</v>
      </c>
      <c r="B660" s="4">
        <v>43151</v>
      </c>
      <c r="C660">
        <v>2018</v>
      </c>
      <c r="D660">
        <v>2</v>
      </c>
      <c r="E660" t="s">
        <v>16</v>
      </c>
      <c r="F660" t="s">
        <v>130</v>
      </c>
      <c r="G660" t="s">
        <v>18</v>
      </c>
      <c r="H660" t="s">
        <v>131</v>
      </c>
      <c r="I660" t="s">
        <v>248</v>
      </c>
      <c r="J660">
        <v>28</v>
      </c>
      <c r="K660" t="b">
        <f>FALSE()</f>
        <v>0</v>
      </c>
      <c r="L660" t="s">
        <v>249</v>
      </c>
      <c r="M660" t="s">
        <v>250</v>
      </c>
    </row>
    <row r="661" spans="1:13" x14ac:dyDescent="0.3">
      <c r="A661" t="s">
        <v>748</v>
      </c>
      <c r="B661" s="4">
        <v>43174</v>
      </c>
      <c r="C661">
        <v>2018</v>
      </c>
      <c r="D661">
        <v>3</v>
      </c>
      <c r="E661" t="s">
        <v>16</v>
      </c>
      <c r="F661" t="s">
        <v>118</v>
      </c>
      <c r="G661" t="s">
        <v>119</v>
      </c>
      <c r="H661" t="s">
        <v>120</v>
      </c>
      <c r="I661" t="s">
        <v>374</v>
      </c>
      <c r="J661">
        <v>178</v>
      </c>
      <c r="K661" t="b">
        <f>FALSE()</f>
        <v>0</v>
      </c>
      <c r="L661" t="s">
        <v>122</v>
      </c>
      <c r="M661" t="s">
        <v>250</v>
      </c>
    </row>
    <row r="662" spans="1:13" x14ac:dyDescent="0.3">
      <c r="A662" t="s">
        <v>749</v>
      </c>
      <c r="B662" s="4">
        <v>43174</v>
      </c>
      <c r="C662">
        <v>2018</v>
      </c>
      <c r="D662">
        <v>3</v>
      </c>
      <c r="E662" t="s">
        <v>16</v>
      </c>
      <c r="F662" t="s">
        <v>41</v>
      </c>
      <c r="G662" t="s">
        <v>18</v>
      </c>
      <c r="H662" t="s">
        <v>27</v>
      </c>
      <c r="I662" t="s">
        <v>533</v>
      </c>
      <c r="J662">
        <v>110</v>
      </c>
      <c r="K662" t="b">
        <f>FALSE()</f>
        <v>0</v>
      </c>
      <c r="L662" t="s">
        <v>29</v>
      </c>
      <c r="M662" t="s">
        <v>250</v>
      </c>
    </row>
    <row r="663" spans="1:13" x14ac:dyDescent="0.3">
      <c r="A663" t="s">
        <v>750</v>
      </c>
      <c r="B663" s="4">
        <v>43195</v>
      </c>
      <c r="C663">
        <v>2018</v>
      </c>
      <c r="D663">
        <v>4</v>
      </c>
      <c r="E663" t="s">
        <v>16</v>
      </c>
      <c r="F663" t="s">
        <v>458</v>
      </c>
      <c r="G663" t="s">
        <v>119</v>
      </c>
      <c r="H663" t="s">
        <v>27</v>
      </c>
      <c r="I663" t="s">
        <v>738</v>
      </c>
      <c r="J663">
        <v>62</v>
      </c>
      <c r="K663" t="b">
        <f>TRUE()</f>
        <v>1</v>
      </c>
      <c r="L663" t="s">
        <v>29</v>
      </c>
      <c r="M663" t="s">
        <v>250</v>
      </c>
    </row>
    <row r="664" spans="1:13" x14ac:dyDescent="0.3">
      <c r="A664" t="s">
        <v>751</v>
      </c>
      <c r="B664" s="4">
        <v>43225</v>
      </c>
      <c r="C664">
        <v>2018</v>
      </c>
      <c r="D664">
        <v>5</v>
      </c>
      <c r="E664" t="s">
        <v>16</v>
      </c>
      <c r="F664" t="s">
        <v>41</v>
      </c>
      <c r="G664" t="s">
        <v>18</v>
      </c>
      <c r="H664" t="s">
        <v>27</v>
      </c>
      <c r="I664" t="s">
        <v>752</v>
      </c>
      <c r="J664">
        <v>110</v>
      </c>
      <c r="K664" t="b">
        <f>FALSE()</f>
        <v>0</v>
      </c>
      <c r="L664" t="s">
        <v>753</v>
      </c>
      <c r="M664" t="s">
        <v>250</v>
      </c>
    </row>
    <row r="665" spans="1:13" x14ac:dyDescent="0.3">
      <c r="A665" t="s">
        <v>754</v>
      </c>
      <c r="B665" s="4">
        <v>43232</v>
      </c>
      <c r="C665">
        <v>2018</v>
      </c>
      <c r="D665">
        <v>5</v>
      </c>
      <c r="E665" t="s">
        <v>16</v>
      </c>
      <c r="F665" t="s">
        <v>58</v>
      </c>
      <c r="G665" t="s">
        <v>18</v>
      </c>
      <c r="H665" t="s">
        <v>59</v>
      </c>
      <c r="I665" t="s">
        <v>687</v>
      </c>
      <c r="J665">
        <v>150</v>
      </c>
      <c r="K665" t="b">
        <f>FALSE()</f>
        <v>0</v>
      </c>
      <c r="L665" t="s">
        <v>343</v>
      </c>
      <c r="M665" t="s">
        <v>250</v>
      </c>
    </row>
    <row r="666" spans="1:13" x14ac:dyDescent="0.3">
      <c r="A666" t="s">
        <v>755</v>
      </c>
      <c r="B666" s="4">
        <v>43235</v>
      </c>
      <c r="C666">
        <v>2018</v>
      </c>
      <c r="D666">
        <v>5</v>
      </c>
      <c r="E666" t="s">
        <v>16</v>
      </c>
      <c r="F666" t="s">
        <v>235</v>
      </c>
      <c r="G666" t="s">
        <v>18</v>
      </c>
      <c r="H666" t="s">
        <v>19</v>
      </c>
      <c r="I666" t="s">
        <v>45</v>
      </c>
      <c r="J666">
        <v>50</v>
      </c>
      <c r="K666" t="b">
        <f>FALSE()</f>
        <v>0</v>
      </c>
      <c r="L666" t="s">
        <v>21</v>
      </c>
      <c r="M666" t="s">
        <v>250</v>
      </c>
    </row>
    <row r="667" spans="1:13" x14ac:dyDescent="0.3">
      <c r="A667" t="s">
        <v>756</v>
      </c>
      <c r="B667" s="4">
        <v>43235</v>
      </c>
      <c r="C667">
        <v>2018</v>
      </c>
      <c r="D667">
        <v>5</v>
      </c>
      <c r="E667" t="s">
        <v>16</v>
      </c>
      <c r="F667" t="s">
        <v>118</v>
      </c>
      <c r="G667" t="s">
        <v>119</v>
      </c>
      <c r="H667" t="s">
        <v>120</v>
      </c>
      <c r="I667" t="s">
        <v>374</v>
      </c>
      <c r="J667">
        <v>178</v>
      </c>
      <c r="K667" t="b">
        <f>FALSE()</f>
        <v>0</v>
      </c>
      <c r="L667" t="s">
        <v>122</v>
      </c>
      <c r="M667" t="s">
        <v>250</v>
      </c>
    </row>
    <row r="668" spans="1:13" x14ac:dyDescent="0.3">
      <c r="A668" t="s">
        <v>757</v>
      </c>
      <c r="B668" s="4">
        <v>43261</v>
      </c>
      <c r="C668">
        <v>2018</v>
      </c>
      <c r="D668">
        <v>6</v>
      </c>
      <c r="E668" t="s">
        <v>16</v>
      </c>
      <c r="F668" t="s">
        <v>235</v>
      </c>
      <c r="G668" t="s">
        <v>18</v>
      </c>
      <c r="H668" t="s">
        <v>19</v>
      </c>
      <c r="I668" t="s">
        <v>45</v>
      </c>
      <c r="J668">
        <v>50</v>
      </c>
      <c r="K668" t="b">
        <f>FALSE()</f>
        <v>0</v>
      </c>
      <c r="L668" t="s">
        <v>21</v>
      </c>
      <c r="M668" t="s">
        <v>250</v>
      </c>
    </row>
    <row r="669" spans="1:13" x14ac:dyDescent="0.3">
      <c r="A669" t="s">
        <v>758</v>
      </c>
      <c r="B669" s="4">
        <v>43296</v>
      </c>
      <c r="C669">
        <v>2018</v>
      </c>
      <c r="D669">
        <v>7</v>
      </c>
      <c r="E669" t="s">
        <v>16</v>
      </c>
      <c r="F669" t="s">
        <v>118</v>
      </c>
      <c r="G669" t="s">
        <v>119</v>
      </c>
      <c r="H669" t="s">
        <v>120</v>
      </c>
      <c r="I669" t="s">
        <v>374</v>
      </c>
      <c r="J669">
        <v>178</v>
      </c>
      <c r="K669" t="b">
        <f>FALSE()</f>
        <v>0</v>
      </c>
      <c r="L669" t="s">
        <v>122</v>
      </c>
      <c r="M669" t="s">
        <v>250</v>
      </c>
    </row>
    <row r="670" spans="1:13" x14ac:dyDescent="0.3">
      <c r="A670" t="s">
        <v>759</v>
      </c>
      <c r="B670" s="4">
        <v>43324</v>
      </c>
      <c r="C670">
        <v>2018</v>
      </c>
      <c r="D670">
        <v>8</v>
      </c>
      <c r="E670" t="s">
        <v>16</v>
      </c>
      <c r="F670" t="s">
        <v>58</v>
      </c>
      <c r="G670" t="s">
        <v>18</v>
      </c>
      <c r="H670" t="s">
        <v>59</v>
      </c>
      <c r="I670" t="s">
        <v>687</v>
      </c>
      <c r="J670">
        <v>150</v>
      </c>
      <c r="K670" t="b">
        <f>FALSE()</f>
        <v>0</v>
      </c>
      <c r="L670" t="s">
        <v>343</v>
      </c>
      <c r="M670" t="s">
        <v>250</v>
      </c>
    </row>
    <row r="671" spans="1:13" x14ac:dyDescent="0.3">
      <c r="A671" t="s">
        <v>760</v>
      </c>
      <c r="B671" s="4">
        <v>43327</v>
      </c>
      <c r="C671">
        <v>2018</v>
      </c>
      <c r="D671">
        <v>8</v>
      </c>
      <c r="E671" t="s">
        <v>16</v>
      </c>
      <c r="F671" t="s">
        <v>235</v>
      </c>
      <c r="G671" t="s">
        <v>18</v>
      </c>
      <c r="H671" t="s">
        <v>19</v>
      </c>
      <c r="I671" t="s">
        <v>45</v>
      </c>
      <c r="J671">
        <v>50</v>
      </c>
      <c r="K671" t="b">
        <f>FALSE()</f>
        <v>0</v>
      </c>
      <c r="L671" t="s">
        <v>21</v>
      </c>
      <c r="M671" t="s">
        <v>250</v>
      </c>
    </row>
    <row r="672" spans="1:13" x14ac:dyDescent="0.3">
      <c r="A672" t="s">
        <v>761</v>
      </c>
      <c r="B672" s="4">
        <v>43332</v>
      </c>
      <c r="C672">
        <v>2018</v>
      </c>
      <c r="D672">
        <v>8</v>
      </c>
      <c r="E672" t="s">
        <v>16</v>
      </c>
      <c r="F672" t="s">
        <v>130</v>
      </c>
      <c r="G672" t="s">
        <v>18</v>
      </c>
      <c r="H672" t="s">
        <v>131</v>
      </c>
      <c r="I672" t="s">
        <v>248</v>
      </c>
      <c r="J672">
        <v>28</v>
      </c>
      <c r="K672" t="b">
        <f>FALSE()</f>
        <v>0</v>
      </c>
      <c r="L672" t="s">
        <v>249</v>
      </c>
      <c r="M672" t="s">
        <v>250</v>
      </c>
    </row>
    <row r="673" spans="1:13" x14ac:dyDescent="0.3">
      <c r="A673" t="s">
        <v>762</v>
      </c>
      <c r="B673" s="4">
        <v>43358</v>
      </c>
      <c r="C673">
        <v>2018</v>
      </c>
      <c r="D673">
        <v>9</v>
      </c>
      <c r="E673" t="s">
        <v>16</v>
      </c>
      <c r="F673" t="s">
        <v>41</v>
      </c>
      <c r="G673" t="s">
        <v>18</v>
      </c>
      <c r="H673" t="s">
        <v>27</v>
      </c>
      <c r="I673" t="s">
        <v>533</v>
      </c>
      <c r="J673">
        <v>110</v>
      </c>
      <c r="K673" t="b">
        <f>FALSE()</f>
        <v>0</v>
      </c>
      <c r="L673" t="s">
        <v>29</v>
      </c>
      <c r="M673" t="s">
        <v>250</v>
      </c>
    </row>
    <row r="674" spans="1:13" x14ac:dyDescent="0.3">
      <c r="A674" t="s">
        <v>763</v>
      </c>
      <c r="B674" s="4">
        <v>43383</v>
      </c>
      <c r="C674">
        <v>2018</v>
      </c>
      <c r="D674">
        <v>10</v>
      </c>
      <c r="E674" t="s">
        <v>16</v>
      </c>
      <c r="F674" t="s">
        <v>235</v>
      </c>
      <c r="G674" t="s">
        <v>18</v>
      </c>
      <c r="H674" t="s">
        <v>19</v>
      </c>
      <c r="I674" t="s">
        <v>45</v>
      </c>
      <c r="J674">
        <v>50</v>
      </c>
      <c r="K674" t="b">
        <f>FALSE()</f>
        <v>0</v>
      </c>
      <c r="L674" t="s">
        <v>21</v>
      </c>
      <c r="M674" t="s">
        <v>250</v>
      </c>
    </row>
    <row r="675" spans="1:13" x14ac:dyDescent="0.3">
      <c r="A675" t="s">
        <v>764</v>
      </c>
      <c r="B675" s="4">
        <v>43416</v>
      </c>
      <c r="C675">
        <v>2018</v>
      </c>
      <c r="D675">
        <v>11</v>
      </c>
      <c r="E675" t="s">
        <v>16</v>
      </c>
      <c r="F675" t="s">
        <v>58</v>
      </c>
      <c r="G675" t="s">
        <v>18</v>
      </c>
      <c r="H675" t="s">
        <v>59</v>
      </c>
      <c r="I675" t="s">
        <v>687</v>
      </c>
      <c r="J675">
        <v>150</v>
      </c>
      <c r="K675" t="b">
        <f>FALSE()</f>
        <v>0</v>
      </c>
      <c r="L675" t="s">
        <v>343</v>
      </c>
      <c r="M675" t="s">
        <v>250</v>
      </c>
    </row>
    <row r="676" spans="1:13" x14ac:dyDescent="0.3">
      <c r="A676" t="s">
        <v>765</v>
      </c>
      <c r="B676" s="4">
        <v>43419</v>
      </c>
      <c r="C676">
        <v>2018</v>
      </c>
      <c r="D676">
        <v>11</v>
      </c>
      <c r="E676" t="s">
        <v>16</v>
      </c>
      <c r="F676" t="s">
        <v>235</v>
      </c>
      <c r="G676" t="s">
        <v>18</v>
      </c>
      <c r="H676" t="s">
        <v>19</v>
      </c>
      <c r="I676" t="s">
        <v>45</v>
      </c>
      <c r="J676">
        <v>50</v>
      </c>
      <c r="K676" t="b">
        <f>FALSE()</f>
        <v>0</v>
      </c>
      <c r="L676" t="s">
        <v>21</v>
      </c>
      <c r="M676" t="s">
        <v>250</v>
      </c>
    </row>
    <row r="677" spans="1:13" x14ac:dyDescent="0.3">
      <c r="A677" t="s">
        <v>766</v>
      </c>
      <c r="B677" s="4">
        <v>43446</v>
      </c>
      <c r="C677">
        <v>2018</v>
      </c>
      <c r="D677">
        <v>12</v>
      </c>
      <c r="E677" t="s">
        <v>16</v>
      </c>
      <c r="F677" t="s">
        <v>58</v>
      </c>
      <c r="G677" t="s">
        <v>18</v>
      </c>
      <c r="H677" t="s">
        <v>59</v>
      </c>
      <c r="I677" t="s">
        <v>687</v>
      </c>
      <c r="J677">
        <v>150</v>
      </c>
      <c r="K677" t="b">
        <f>FALSE()</f>
        <v>0</v>
      </c>
      <c r="L677" t="s">
        <v>343</v>
      </c>
      <c r="M677" t="s">
        <v>250</v>
      </c>
    </row>
    <row r="678" spans="1:13" x14ac:dyDescent="0.3">
      <c r="A678" t="s">
        <v>767</v>
      </c>
      <c r="B678" s="4">
        <v>43446</v>
      </c>
      <c r="C678">
        <v>2018</v>
      </c>
      <c r="D678">
        <v>12</v>
      </c>
      <c r="E678" t="s">
        <v>16</v>
      </c>
      <c r="F678" t="s">
        <v>58</v>
      </c>
      <c r="G678" t="s">
        <v>18</v>
      </c>
      <c r="H678" t="s">
        <v>59</v>
      </c>
      <c r="I678" t="s">
        <v>687</v>
      </c>
      <c r="J678">
        <v>150</v>
      </c>
      <c r="K678" t="b">
        <f>FALSE()</f>
        <v>0</v>
      </c>
      <c r="L678" t="s">
        <v>343</v>
      </c>
      <c r="M678" t="s">
        <v>250</v>
      </c>
    </row>
    <row r="679" spans="1:13" x14ac:dyDescent="0.3">
      <c r="A679" t="s">
        <v>768</v>
      </c>
      <c r="B679" s="4">
        <v>43466</v>
      </c>
      <c r="C679">
        <v>2019</v>
      </c>
      <c r="D679">
        <v>1</v>
      </c>
      <c r="E679" t="s">
        <v>16</v>
      </c>
      <c r="F679" t="s">
        <v>458</v>
      </c>
      <c r="G679" t="s">
        <v>119</v>
      </c>
      <c r="H679" t="s">
        <v>27</v>
      </c>
      <c r="I679" t="s">
        <v>738</v>
      </c>
      <c r="J679">
        <v>62</v>
      </c>
      <c r="K679" t="b">
        <f>TRUE()</f>
        <v>1</v>
      </c>
      <c r="L679" t="s">
        <v>769</v>
      </c>
      <c r="M679" t="s">
        <v>250</v>
      </c>
    </row>
    <row r="680" spans="1:13" x14ac:dyDescent="0.3">
      <c r="A680" t="s">
        <v>770</v>
      </c>
      <c r="B680" s="4">
        <v>43470</v>
      </c>
      <c r="C680">
        <v>2019</v>
      </c>
      <c r="D680">
        <v>1</v>
      </c>
      <c r="E680" t="s">
        <v>16</v>
      </c>
      <c r="F680" t="s">
        <v>458</v>
      </c>
      <c r="G680" t="s">
        <v>119</v>
      </c>
      <c r="H680" t="s">
        <v>27</v>
      </c>
      <c r="I680" t="s">
        <v>738</v>
      </c>
      <c r="J680">
        <v>62</v>
      </c>
      <c r="K680" t="b">
        <f>TRUE()</f>
        <v>1</v>
      </c>
      <c r="L680" t="s">
        <v>29</v>
      </c>
      <c r="M680" t="s">
        <v>250</v>
      </c>
    </row>
    <row r="681" spans="1:13" x14ac:dyDescent="0.3">
      <c r="A681" t="s">
        <v>771</v>
      </c>
      <c r="B681" s="4">
        <v>43480</v>
      </c>
      <c r="C681">
        <v>2019</v>
      </c>
      <c r="D681">
        <v>1</v>
      </c>
      <c r="E681" t="s">
        <v>16</v>
      </c>
      <c r="F681" t="s">
        <v>118</v>
      </c>
      <c r="G681" t="s">
        <v>119</v>
      </c>
      <c r="H681" t="s">
        <v>120</v>
      </c>
      <c r="I681" t="s">
        <v>374</v>
      </c>
      <c r="J681">
        <v>178</v>
      </c>
      <c r="K681" t="b">
        <f>FALSE()</f>
        <v>0</v>
      </c>
      <c r="L681" t="s">
        <v>122</v>
      </c>
      <c r="M681" t="s">
        <v>250</v>
      </c>
    </row>
    <row r="682" spans="1:13" x14ac:dyDescent="0.3">
      <c r="A682" t="s">
        <v>772</v>
      </c>
      <c r="B682" s="4">
        <v>43498</v>
      </c>
      <c r="C682">
        <v>2019</v>
      </c>
      <c r="D682">
        <v>2</v>
      </c>
      <c r="E682" t="s">
        <v>16</v>
      </c>
      <c r="F682" t="s">
        <v>458</v>
      </c>
      <c r="G682" t="s">
        <v>119</v>
      </c>
      <c r="H682" t="s">
        <v>27</v>
      </c>
      <c r="I682" t="s">
        <v>738</v>
      </c>
      <c r="J682">
        <v>62</v>
      </c>
      <c r="K682" t="b">
        <f>TRUE()</f>
        <v>1</v>
      </c>
      <c r="L682" t="s">
        <v>769</v>
      </c>
      <c r="M682" t="s">
        <v>250</v>
      </c>
    </row>
    <row r="683" spans="1:13" x14ac:dyDescent="0.3">
      <c r="A683" t="s">
        <v>773</v>
      </c>
      <c r="B683" s="4">
        <v>43506</v>
      </c>
      <c r="C683">
        <v>2019</v>
      </c>
      <c r="D683">
        <v>2</v>
      </c>
      <c r="E683" t="s">
        <v>16</v>
      </c>
      <c r="F683" t="s">
        <v>235</v>
      </c>
      <c r="G683" t="s">
        <v>18</v>
      </c>
      <c r="H683" t="s">
        <v>19</v>
      </c>
      <c r="I683" t="s">
        <v>45</v>
      </c>
      <c r="J683">
        <v>50</v>
      </c>
      <c r="K683" t="b">
        <f>FALSE()</f>
        <v>0</v>
      </c>
      <c r="L683" t="s">
        <v>21</v>
      </c>
      <c r="M683" t="s">
        <v>250</v>
      </c>
    </row>
    <row r="684" spans="1:13" x14ac:dyDescent="0.3">
      <c r="A684" t="s">
        <v>774</v>
      </c>
      <c r="B684" s="4">
        <v>43508</v>
      </c>
      <c r="C684">
        <v>2019</v>
      </c>
      <c r="D684">
        <v>2</v>
      </c>
      <c r="E684" t="s">
        <v>16</v>
      </c>
      <c r="F684" t="s">
        <v>58</v>
      </c>
      <c r="G684" t="s">
        <v>18</v>
      </c>
      <c r="H684" t="s">
        <v>59</v>
      </c>
      <c r="I684" t="s">
        <v>687</v>
      </c>
      <c r="J684">
        <v>150</v>
      </c>
      <c r="K684" t="b">
        <f>FALSE()</f>
        <v>0</v>
      </c>
      <c r="L684" t="s">
        <v>343</v>
      </c>
      <c r="M684" t="s">
        <v>250</v>
      </c>
    </row>
    <row r="685" spans="1:13" x14ac:dyDescent="0.3">
      <c r="A685" t="s">
        <v>775</v>
      </c>
      <c r="B685" s="4">
        <v>43511</v>
      </c>
      <c r="C685">
        <v>2019</v>
      </c>
      <c r="D685">
        <v>2</v>
      </c>
      <c r="E685" t="s">
        <v>16</v>
      </c>
      <c r="F685" t="s">
        <v>235</v>
      </c>
      <c r="G685" t="s">
        <v>18</v>
      </c>
      <c r="H685" t="s">
        <v>19</v>
      </c>
      <c r="I685" t="s">
        <v>45</v>
      </c>
      <c r="J685">
        <v>50</v>
      </c>
      <c r="K685" t="b">
        <f>FALSE()</f>
        <v>0</v>
      </c>
      <c r="L685" t="s">
        <v>21</v>
      </c>
      <c r="M685" t="s">
        <v>250</v>
      </c>
    </row>
    <row r="686" spans="1:13" x14ac:dyDescent="0.3">
      <c r="A686" t="s">
        <v>776</v>
      </c>
      <c r="B686" s="4">
        <v>43511</v>
      </c>
      <c r="C686">
        <v>2019</v>
      </c>
      <c r="D686">
        <v>2</v>
      </c>
      <c r="E686" t="s">
        <v>16</v>
      </c>
      <c r="F686" t="s">
        <v>235</v>
      </c>
      <c r="G686" t="s">
        <v>18</v>
      </c>
      <c r="H686" t="s">
        <v>19</v>
      </c>
      <c r="I686" t="s">
        <v>45</v>
      </c>
      <c r="J686">
        <v>50</v>
      </c>
      <c r="K686" t="b">
        <f>FALSE()</f>
        <v>0</v>
      </c>
      <c r="L686" t="s">
        <v>21</v>
      </c>
      <c r="M686" t="s">
        <v>250</v>
      </c>
    </row>
    <row r="687" spans="1:13" x14ac:dyDescent="0.3">
      <c r="A687" t="s">
        <v>777</v>
      </c>
      <c r="B687" s="4">
        <v>43516</v>
      </c>
      <c r="C687">
        <v>2019</v>
      </c>
      <c r="D687">
        <v>2</v>
      </c>
      <c r="E687" t="s">
        <v>16</v>
      </c>
      <c r="F687" t="s">
        <v>130</v>
      </c>
      <c r="G687" t="s">
        <v>18</v>
      </c>
      <c r="H687" t="s">
        <v>131</v>
      </c>
      <c r="I687" t="s">
        <v>248</v>
      </c>
      <c r="J687">
        <v>28</v>
      </c>
      <c r="K687" t="b">
        <f>FALSE()</f>
        <v>0</v>
      </c>
      <c r="L687" t="s">
        <v>249</v>
      </c>
      <c r="M687" t="s">
        <v>250</v>
      </c>
    </row>
    <row r="688" spans="1:13" x14ac:dyDescent="0.3">
      <c r="A688" t="s">
        <v>778</v>
      </c>
      <c r="B688" s="4">
        <v>43527</v>
      </c>
      <c r="C688">
        <v>2019</v>
      </c>
      <c r="D688">
        <v>3</v>
      </c>
      <c r="E688" t="s">
        <v>16</v>
      </c>
      <c r="F688" t="s">
        <v>458</v>
      </c>
      <c r="G688" t="s">
        <v>119</v>
      </c>
      <c r="H688" t="s">
        <v>27</v>
      </c>
      <c r="I688" t="s">
        <v>738</v>
      </c>
      <c r="J688">
        <v>62</v>
      </c>
      <c r="K688" t="b">
        <f>TRUE()</f>
        <v>1</v>
      </c>
      <c r="L688" t="s">
        <v>769</v>
      </c>
      <c r="M688" t="s">
        <v>250</v>
      </c>
    </row>
    <row r="689" spans="1:13" x14ac:dyDescent="0.3">
      <c r="A689" t="s">
        <v>779</v>
      </c>
      <c r="B689" s="4">
        <v>43539</v>
      </c>
      <c r="C689">
        <v>2019</v>
      </c>
      <c r="D689">
        <v>3</v>
      </c>
      <c r="E689" t="s">
        <v>16</v>
      </c>
      <c r="F689" t="s">
        <v>118</v>
      </c>
      <c r="G689" t="s">
        <v>119</v>
      </c>
      <c r="H689" t="s">
        <v>120</v>
      </c>
      <c r="I689" t="s">
        <v>374</v>
      </c>
      <c r="J689">
        <v>178</v>
      </c>
      <c r="K689" t="b">
        <f>FALSE()</f>
        <v>0</v>
      </c>
      <c r="L689" t="s">
        <v>122</v>
      </c>
      <c r="M689" t="s">
        <v>250</v>
      </c>
    </row>
    <row r="690" spans="1:13" x14ac:dyDescent="0.3">
      <c r="A690" t="s">
        <v>780</v>
      </c>
      <c r="B690" s="4">
        <v>43539</v>
      </c>
      <c r="C690">
        <v>2019</v>
      </c>
      <c r="D690">
        <v>3</v>
      </c>
      <c r="E690" t="s">
        <v>16</v>
      </c>
      <c r="F690" t="s">
        <v>41</v>
      </c>
      <c r="G690" t="s">
        <v>18</v>
      </c>
      <c r="H690" t="s">
        <v>27</v>
      </c>
      <c r="I690" t="s">
        <v>533</v>
      </c>
      <c r="J690">
        <v>110</v>
      </c>
      <c r="K690" t="b">
        <f>FALSE()</f>
        <v>0</v>
      </c>
      <c r="L690" t="s">
        <v>29</v>
      </c>
      <c r="M690" t="s">
        <v>250</v>
      </c>
    </row>
    <row r="691" spans="1:13" x14ac:dyDescent="0.3">
      <c r="A691" t="s">
        <v>781</v>
      </c>
      <c r="B691" s="4">
        <v>43559</v>
      </c>
      <c r="C691">
        <v>2019</v>
      </c>
      <c r="D691">
        <v>4</v>
      </c>
      <c r="E691" t="s">
        <v>16</v>
      </c>
      <c r="F691" t="s">
        <v>458</v>
      </c>
      <c r="G691" t="s">
        <v>119</v>
      </c>
      <c r="H691" t="s">
        <v>27</v>
      </c>
      <c r="I691" t="s">
        <v>738</v>
      </c>
      <c r="J691">
        <v>62</v>
      </c>
      <c r="K691" t="b">
        <f>TRUE()</f>
        <v>1</v>
      </c>
      <c r="L691" t="s">
        <v>769</v>
      </c>
      <c r="M691" t="s">
        <v>250</v>
      </c>
    </row>
    <row r="692" spans="1:13" x14ac:dyDescent="0.3">
      <c r="A692" t="s">
        <v>782</v>
      </c>
      <c r="B692" s="4">
        <v>43560</v>
      </c>
      <c r="C692">
        <v>2019</v>
      </c>
      <c r="D692">
        <v>4</v>
      </c>
      <c r="E692" t="s">
        <v>16</v>
      </c>
      <c r="F692" t="s">
        <v>458</v>
      </c>
      <c r="G692" t="s">
        <v>119</v>
      </c>
      <c r="H692" t="s">
        <v>27</v>
      </c>
      <c r="I692" t="s">
        <v>738</v>
      </c>
      <c r="J692">
        <v>62</v>
      </c>
      <c r="K692" t="b">
        <f>TRUE()</f>
        <v>1</v>
      </c>
      <c r="L692" t="s">
        <v>29</v>
      </c>
      <c r="M692" t="s">
        <v>250</v>
      </c>
    </row>
    <row r="693" spans="1:13" x14ac:dyDescent="0.3">
      <c r="A693" t="s">
        <v>783</v>
      </c>
      <c r="B693" s="4">
        <v>43597</v>
      </c>
      <c r="C693">
        <v>2019</v>
      </c>
      <c r="D693">
        <v>5</v>
      </c>
      <c r="E693" t="s">
        <v>16</v>
      </c>
      <c r="F693" t="s">
        <v>58</v>
      </c>
      <c r="G693" t="s">
        <v>18</v>
      </c>
      <c r="H693" t="s">
        <v>59</v>
      </c>
      <c r="I693" t="s">
        <v>687</v>
      </c>
      <c r="J693">
        <v>150</v>
      </c>
      <c r="K693" t="b">
        <f>FALSE()</f>
        <v>0</v>
      </c>
      <c r="L693" t="s">
        <v>343</v>
      </c>
      <c r="M693" t="s">
        <v>250</v>
      </c>
    </row>
    <row r="694" spans="1:13" x14ac:dyDescent="0.3">
      <c r="A694" t="s">
        <v>784</v>
      </c>
      <c r="B694" s="4">
        <v>43600</v>
      </c>
      <c r="C694">
        <v>2019</v>
      </c>
      <c r="D694">
        <v>5</v>
      </c>
      <c r="E694" t="s">
        <v>16</v>
      </c>
      <c r="F694" t="s">
        <v>118</v>
      </c>
      <c r="G694" t="s">
        <v>119</v>
      </c>
      <c r="H694" t="s">
        <v>120</v>
      </c>
      <c r="I694" t="s">
        <v>374</v>
      </c>
      <c r="J694">
        <v>178</v>
      </c>
      <c r="K694" t="b">
        <f>FALSE()</f>
        <v>0</v>
      </c>
      <c r="L694" t="s">
        <v>122</v>
      </c>
      <c r="M694" t="s">
        <v>250</v>
      </c>
    </row>
    <row r="695" spans="1:13" x14ac:dyDescent="0.3">
      <c r="A695" t="s">
        <v>785</v>
      </c>
      <c r="B695" s="4">
        <v>43600</v>
      </c>
      <c r="C695">
        <v>2019</v>
      </c>
      <c r="D695">
        <v>5</v>
      </c>
      <c r="E695" t="s">
        <v>16</v>
      </c>
      <c r="F695" t="s">
        <v>235</v>
      </c>
      <c r="G695" t="s">
        <v>18</v>
      </c>
      <c r="H695" t="s">
        <v>19</v>
      </c>
      <c r="I695" t="s">
        <v>45</v>
      </c>
      <c r="J695">
        <v>50</v>
      </c>
      <c r="K695" t="b">
        <f>FALSE()</f>
        <v>0</v>
      </c>
      <c r="L695" t="s">
        <v>21</v>
      </c>
      <c r="M695" t="s">
        <v>250</v>
      </c>
    </row>
    <row r="696" spans="1:13" x14ac:dyDescent="0.3">
      <c r="A696" t="s">
        <v>786</v>
      </c>
      <c r="B696" s="4">
        <v>43626</v>
      </c>
      <c r="C696">
        <v>2019</v>
      </c>
      <c r="D696">
        <v>6</v>
      </c>
      <c r="E696" t="s">
        <v>16</v>
      </c>
      <c r="F696" t="s">
        <v>235</v>
      </c>
      <c r="G696" t="s">
        <v>18</v>
      </c>
      <c r="H696" t="s">
        <v>19</v>
      </c>
      <c r="I696" t="s">
        <v>45</v>
      </c>
      <c r="J696">
        <v>50</v>
      </c>
      <c r="K696" t="b">
        <f>FALSE()</f>
        <v>0</v>
      </c>
      <c r="L696" t="s">
        <v>21</v>
      </c>
      <c r="M696" t="s">
        <v>250</v>
      </c>
    </row>
    <row r="697" spans="1:13" x14ac:dyDescent="0.3">
      <c r="A697" t="s">
        <v>787</v>
      </c>
      <c r="B697" s="4">
        <v>43661</v>
      </c>
      <c r="C697">
        <v>2019</v>
      </c>
      <c r="D697">
        <v>7</v>
      </c>
      <c r="E697" t="s">
        <v>16</v>
      </c>
      <c r="F697" t="s">
        <v>118</v>
      </c>
      <c r="G697" t="s">
        <v>119</v>
      </c>
      <c r="H697" t="s">
        <v>120</v>
      </c>
      <c r="I697" t="s">
        <v>374</v>
      </c>
      <c r="J697">
        <v>178</v>
      </c>
      <c r="K697" t="b">
        <f>FALSE()</f>
        <v>0</v>
      </c>
      <c r="L697" t="s">
        <v>122</v>
      </c>
      <c r="M697" t="s">
        <v>250</v>
      </c>
    </row>
    <row r="698" spans="1:13" x14ac:dyDescent="0.3">
      <c r="A698" t="s">
        <v>788</v>
      </c>
      <c r="B698" s="4">
        <v>43668</v>
      </c>
      <c r="C698">
        <v>2019</v>
      </c>
      <c r="D698">
        <v>7</v>
      </c>
      <c r="E698" t="s">
        <v>64</v>
      </c>
      <c r="F698" t="s">
        <v>130</v>
      </c>
      <c r="G698" t="s">
        <v>18</v>
      </c>
      <c r="H698" t="s">
        <v>131</v>
      </c>
      <c r="I698" t="s">
        <v>789</v>
      </c>
      <c r="J698">
        <v>45</v>
      </c>
      <c r="K698" t="b">
        <f>FALSE()</f>
        <v>0</v>
      </c>
      <c r="L698" t="s">
        <v>249</v>
      </c>
      <c r="M698" t="s">
        <v>250</v>
      </c>
    </row>
    <row r="699" spans="1:13" x14ac:dyDescent="0.3">
      <c r="A699" t="s">
        <v>790</v>
      </c>
      <c r="B699" s="4">
        <v>43689</v>
      </c>
      <c r="C699">
        <v>2019</v>
      </c>
      <c r="D699">
        <v>8</v>
      </c>
      <c r="E699" t="s">
        <v>16</v>
      </c>
      <c r="F699" t="s">
        <v>58</v>
      </c>
      <c r="G699" t="s">
        <v>18</v>
      </c>
      <c r="H699" t="s">
        <v>59</v>
      </c>
      <c r="I699" t="s">
        <v>687</v>
      </c>
      <c r="J699">
        <v>150</v>
      </c>
      <c r="K699" t="b">
        <f>FALSE()</f>
        <v>0</v>
      </c>
      <c r="L699" t="s">
        <v>343</v>
      </c>
      <c r="M699" t="s">
        <v>250</v>
      </c>
    </row>
    <row r="700" spans="1:13" x14ac:dyDescent="0.3">
      <c r="A700" t="s">
        <v>791</v>
      </c>
      <c r="B700" s="4">
        <v>43692</v>
      </c>
      <c r="C700">
        <v>2019</v>
      </c>
      <c r="D700">
        <v>8</v>
      </c>
      <c r="E700" t="s">
        <v>16</v>
      </c>
      <c r="F700" t="s">
        <v>235</v>
      </c>
      <c r="G700" t="s">
        <v>18</v>
      </c>
      <c r="H700" t="s">
        <v>19</v>
      </c>
      <c r="I700" t="s">
        <v>45</v>
      </c>
      <c r="J700">
        <v>50</v>
      </c>
      <c r="K700" t="b">
        <f>FALSE()</f>
        <v>0</v>
      </c>
      <c r="L700" t="s">
        <v>21</v>
      </c>
      <c r="M700" t="s">
        <v>250</v>
      </c>
    </row>
    <row r="701" spans="1:13" x14ac:dyDescent="0.3">
      <c r="A701" t="s">
        <v>792</v>
      </c>
      <c r="B701" s="4">
        <v>43697</v>
      </c>
      <c r="C701">
        <v>2019</v>
      </c>
      <c r="D701">
        <v>8</v>
      </c>
      <c r="E701" t="s">
        <v>16</v>
      </c>
      <c r="F701" t="s">
        <v>130</v>
      </c>
      <c r="G701" t="s">
        <v>18</v>
      </c>
      <c r="H701" t="s">
        <v>131</v>
      </c>
      <c r="I701" t="s">
        <v>248</v>
      </c>
      <c r="J701">
        <v>28</v>
      </c>
      <c r="K701" t="b">
        <f>FALSE()</f>
        <v>0</v>
      </c>
      <c r="L701" t="s">
        <v>249</v>
      </c>
      <c r="M701" t="s">
        <v>250</v>
      </c>
    </row>
    <row r="702" spans="1:13" x14ac:dyDescent="0.3">
      <c r="A702" t="s">
        <v>793</v>
      </c>
      <c r="B702" s="4">
        <v>43723</v>
      </c>
      <c r="C702">
        <v>2019</v>
      </c>
      <c r="D702">
        <v>9</v>
      </c>
      <c r="E702" t="s">
        <v>16</v>
      </c>
      <c r="F702" t="s">
        <v>41</v>
      </c>
      <c r="G702" t="s">
        <v>18</v>
      </c>
      <c r="H702" t="s">
        <v>27</v>
      </c>
      <c r="I702" t="s">
        <v>533</v>
      </c>
      <c r="J702">
        <v>110</v>
      </c>
      <c r="K702" t="b">
        <f>FALSE()</f>
        <v>0</v>
      </c>
      <c r="L702" t="s">
        <v>29</v>
      </c>
      <c r="M702" t="s">
        <v>250</v>
      </c>
    </row>
    <row r="703" spans="1:13" x14ac:dyDescent="0.3">
      <c r="A703" t="s">
        <v>794</v>
      </c>
      <c r="B703" s="4">
        <v>43748</v>
      </c>
      <c r="C703">
        <v>2019</v>
      </c>
      <c r="D703">
        <v>10</v>
      </c>
      <c r="E703" t="s">
        <v>16</v>
      </c>
      <c r="F703" t="s">
        <v>235</v>
      </c>
      <c r="G703" t="s">
        <v>18</v>
      </c>
      <c r="H703" t="s">
        <v>19</v>
      </c>
      <c r="I703" t="s">
        <v>45</v>
      </c>
      <c r="J703">
        <v>50</v>
      </c>
      <c r="K703" t="b">
        <f>FALSE()</f>
        <v>0</v>
      </c>
      <c r="L703" t="s">
        <v>21</v>
      </c>
      <c r="M703" t="s">
        <v>250</v>
      </c>
    </row>
    <row r="704" spans="1:13" x14ac:dyDescent="0.3">
      <c r="A704" t="s">
        <v>795</v>
      </c>
      <c r="B704" s="4">
        <v>43781</v>
      </c>
      <c r="C704">
        <v>2019</v>
      </c>
      <c r="D704">
        <v>11</v>
      </c>
      <c r="E704" t="s">
        <v>16</v>
      </c>
      <c r="F704" t="s">
        <v>58</v>
      </c>
      <c r="G704" t="s">
        <v>18</v>
      </c>
      <c r="H704" t="s">
        <v>59</v>
      </c>
      <c r="I704" t="s">
        <v>687</v>
      </c>
      <c r="J704">
        <v>150</v>
      </c>
      <c r="K704" t="b">
        <f>FALSE()</f>
        <v>0</v>
      </c>
      <c r="L704" t="s">
        <v>343</v>
      </c>
      <c r="M704" t="s">
        <v>250</v>
      </c>
    </row>
    <row r="705" spans="1:13" x14ac:dyDescent="0.3">
      <c r="A705" t="s">
        <v>796</v>
      </c>
      <c r="B705" s="4">
        <v>43784</v>
      </c>
      <c r="C705">
        <v>2019</v>
      </c>
      <c r="D705">
        <v>11</v>
      </c>
      <c r="E705" t="s">
        <v>16</v>
      </c>
      <c r="F705" t="s">
        <v>235</v>
      </c>
      <c r="G705" t="s">
        <v>18</v>
      </c>
      <c r="H705" t="s">
        <v>19</v>
      </c>
      <c r="I705" t="s">
        <v>45</v>
      </c>
      <c r="J705">
        <v>50</v>
      </c>
      <c r="K705" t="b">
        <f>FALSE()</f>
        <v>0</v>
      </c>
      <c r="L705" t="s">
        <v>21</v>
      </c>
      <c r="M705" t="s">
        <v>250</v>
      </c>
    </row>
    <row r="706" spans="1:13" x14ac:dyDescent="0.3">
      <c r="A706" t="s">
        <v>797</v>
      </c>
      <c r="B706" s="4">
        <v>43811</v>
      </c>
      <c r="C706">
        <v>2019</v>
      </c>
      <c r="D706">
        <v>12</v>
      </c>
      <c r="E706" t="s">
        <v>16</v>
      </c>
      <c r="F706" t="s">
        <v>58</v>
      </c>
      <c r="G706" t="s">
        <v>18</v>
      </c>
      <c r="H706" t="s">
        <v>59</v>
      </c>
      <c r="I706" t="s">
        <v>687</v>
      </c>
      <c r="J706">
        <v>150</v>
      </c>
      <c r="K706" t="b">
        <f>FALSE()</f>
        <v>0</v>
      </c>
      <c r="L706" t="s">
        <v>343</v>
      </c>
      <c r="M706" t="s">
        <v>250</v>
      </c>
    </row>
    <row r="707" spans="1:13" x14ac:dyDescent="0.3">
      <c r="A707" t="s">
        <v>798</v>
      </c>
      <c r="B707" s="4">
        <v>43811</v>
      </c>
      <c r="C707">
        <v>2019</v>
      </c>
      <c r="D707">
        <v>12</v>
      </c>
      <c r="E707" t="s">
        <v>16</v>
      </c>
      <c r="F707" t="s">
        <v>58</v>
      </c>
      <c r="G707" t="s">
        <v>18</v>
      </c>
      <c r="H707" t="s">
        <v>59</v>
      </c>
      <c r="I707" t="s">
        <v>687</v>
      </c>
      <c r="J707">
        <v>150</v>
      </c>
      <c r="K707" t="b">
        <f>FALSE()</f>
        <v>0</v>
      </c>
      <c r="L707" t="s">
        <v>343</v>
      </c>
      <c r="M707" t="s">
        <v>250</v>
      </c>
    </row>
    <row r="708" spans="1:13" x14ac:dyDescent="0.3">
      <c r="A708" t="s">
        <v>799</v>
      </c>
      <c r="B708" s="4">
        <v>43831</v>
      </c>
      <c r="C708">
        <v>2020</v>
      </c>
      <c r="D708">
        <v>1</v>
      </c>
      <c r="E708" t="s">
        <v>16</v>
      </c>
      <c r="F708" t="s">
        <v>458</v>
      </c>
      <c r="G708" t="s">
        <v>119</v>
      </c>
      <c r="H708" t="s">
        <v>27</v>
      </c>
      <c r="I708" t="s">
        <v>738</v>
      </c>
      <c r="J708">
        <v>62</v>
      </c>
      <c r="K708" t="b">
        <f>TRUE()</f>
        <v>1</v>
      </c>
      <c r="L708" t="s">
        <v>769</v>
      </c>
      <c r="M708" t="s">
        <v>250</v>
      </c>
    </row>
    <row r="709" spans="1:13" x14ac:dyDescent="0.3">
      <c r="A709" t="s">
        <v>800</v>
      </c>
      <c r="B709" s="4">
        <v>43835</v>
      </c>
      <c r="C709">
        <v>2020</v>
      </c>
      <c r="D709">
        <v>1</v>
      </c>
      <c r="E709" t="s">
        <v>16</v>
      </c>
      <c r="F709" t="s">
        <v>458</v>
      </c>
      <c r="G709" t="s">
        <v>119</v>
      </c>
      <c r="H709" t="s">
        <v>27</v>
      </c>
      <c r="I709" t="s">
        <v>738</v>
      </c>
      <c r="J709">
        <v>62</v>
      </c>
      <c r="K709" t="b">
        <f>TRUE()</f>
        <v>1</v>
      </c>
      <c r="L709" t="s">
        <v>29</v>
      </c>
      <c r="M709" t="s">
        <v>250</v>
      </c>
    </row>
    <row r="710" spans="1:13" x14ac:dyDescent="0.3">
      <c r="A710" t="s">
        <v>801</v>
      </c>
      <c r="B710" s="4">
        <v>43845</v>
      </c>
      <c r="C710">
        <v>2020</v>
      </c>
      <c r="D710">
        <v>1</v>
      </c>
      <c r="E710" t="s">
        <v>16</v>
      </c>
      <c r="F710" t="s">
        <v>118</v>
      </c>
      <c r="G710" t="s">
        <v>119</v>
      </c>
      <c r="H710" t="s">
        <v>120</v>
      </c>
      <c r="I710" t="s">
        <v>374</v>
      </c>
      <c r="J710">
        <v>178</v>
      </c>
      <c r="K710" t="b">
        <f>FALSE()</f>
        <v>0</v>
      </c>
      <c r="L710" t="s">
        <v>122</v>
      </c>
      <c r="M710" t="s">
        <v>250</v>
      </c>
    </row>
    <row r="711" spans="1:13" x14ac:dyDescent="0.3">
      <c r="A711" t="s">
        <v>802</v>
      </c>
      <c r="B711" s="4">
        <v>43863</v>
      </c>
      <c r="C711">
        <v>2020</v>
      </c>
      <c r="D711">
        <v>2</v>
      </c>
      <c r="E711" t="s">
        <v>16</v>
      </c>
      <c r="F711" t="s">
        <v>458</v>
      </c>
      <c r="G711" t="s">
        <v>119</v>
      </c>
      <c r="H711" t="s">
        <v>27</v>
      </c>
      <c r="I711" t="s">
        <v>738</v>
      </c>
      <c r="J711">
        <v>62</v>
      </c>
      <c r="K711" t="b">
        <f>TRUE()</f>
        <v>1</v>
      </c>
      <c r="L711" t="s">
        <v>769</v>
      </c>
      <c r="M711" t="s">
        <v>250</v>
      </c>
    </row>
    <row r="712" spans="1:13" x14ac:dyDescent="0.3">
      <c r="A712" t="s">
        <v>803</v>
      </c>
      <c r="B712" s="4">
        <v>43871</v>
      </c>
      <c r="C712">
        <v>2020</v>
      </c>
      <c r="D712">
        <v>2</v>
      </c>
      <c r="E712" t="s">
        <v>16</v>
      </c>
      <c r="F712" t="s">
        <v>235</v>
      </c>
      <c r="G712" t="s">
        <v>18</v>
      </c>
      <c r="H712" t="s">
        <v>19</v>
      </c>
      <c r="I712" t="s">
        <v>45</v>
      </c>
      <c r="J712">
        <v>50</v>
      </c>
      <c r="K712" t="b">
        <f>FALSE()</f>
        <v>0</v>
      </c>
      <c r="L712" t="s">
        <v>21</v>
      </c>
      <c r="M712" t="s">
        <v>250</v>
      </c>
    </row>
    <row r="713" spans="1:13" x14ac:dyDescent="0.3">
      <c r="A713" t="s">
        <v>804</v>
      </c>
      <c r="B713" s="4">
        <v>43873</v>
      </c>
      <c r="C713">
        <v>2020</v>
      </c>
      <c r="D713">
        <v>2</v>
      </c>
      <c r="E713" t="s">
        <v>16</v>
      </c>
      <c r="F713" t="s">
        <v>58</v>
      </c>
      <c r="G713" t="s">
        <v>18</v>
      </c>
      <c r="H713" t="s">
        <v>59</v>
      </c>
      <c r="I713" t="s">
        <v>687</v>
      </c>
      <c r="J713">
        <v>150</v>
      </c>
      <c r="K713" t="b">
        <f>FALSE()</f>
        <v>0</v>
      </c>
      <c r="L713" t="s">
        <v>343</v>
      </c>
      <c r="M713" t="s">
        <v>250</v>
      </c>
    </row>
    <row r="714" spans="1:13" x14ac:dyDescent="0.3">
      <c r="A714" t="s">
        <v>805</v>
      </c>
      <c r="B714" s="4">
        <v>43876</v>
      </c>
      <c r="C714">
        <v>2020</v>
      </c>
      <c r="D714">
        <v>2</v>
      </c>
      <c r="E714" t="s">
        <v>16</v>
      </c>
      <c r="F714" t="s">
        <v>235</v>
      </c>
      <c r="G714" t="s">
        <v>18</v>
      </c>
      <c r="H714" t="s">
        <v>19</v>
      </c>
      <c r="I714" t="s">
        <v>45</v>
      </c>
      <c r="J714">
        <v>50</v>
      </c>
      <c r="K714" t="b">
        <f>FALSE()</f>
        <v>0</v>
      </c>
      <c r="L714" t="s">
        <v>21</v>
      </c>
      <c r="M714" t="s">
        <v>250</v>
      </c>
    </row>
    <row r="715" spans="1:13" x14ac:dyDescent="0.3">
      <c r="A715" t="s">
        <v>806</v>
      </c>
      <c r="B715" s="4">
        <v>43876</v>
      </c>
      <c r="C715">
        <v>2020</v>
      </c>
      <c r="D715">
        <v>2</v>
      </c>
      <c r="E715" t="s">
        <v>16</v>
      </c>
      <c r="F715" t="s">
        <v>235</v>
      </c>
      <c r="G715" t="s">
        <v>18</v>
      </c>
      <c r="H715" t="s">
        <v>19</v>
      </c>
      <c r="I715" t="s">
        <v>45</v>
      </c>
      <c r="J715">
        <v>50</v>
      </c>
      <c r="K715" t="b">
        <f>FALSE()</f>
        <v>0</v>
      </c>
      <c r="L715" t="s">
        <v>21</v>
      </c>
      <c r="M715" t="s">
        <v>250</v>
      </c>
    </row>
    <row r="716" spans="1:13" x14ac:dyDescent="0.3">
      <c r="A716" t="s">
        <v>807</v>
      </c>
      <c r="B716" s="4">
        <v>43881</v>
      </c>
      <c r="C716">
        <v>2020</v>
      </c>
      <c r="D716">
        <v>2</v>
      </c>
      <c r="E716" t="s">
        <v>16</v>
      </c>
      <c r="F716" t="s">
        <v>130</v>
      </c>
      <c r="G716" t="s">
        <v>18</v>
      </c>
      <c r="H716" t="s">
        <v>131</v>
      </c>
      <c r="I716" t="s">
        <v>248</v>
      </c>
      <c r="J716">
        <v>28</v>
      </c>
      <c r="K716" t="b">
        <f>FALSE()</f>
        <v>0</v>
      </c>
      <c r="L716" t="s">
        <v>249</v>
      </c>
      <c r="M716" t="s">
        <v>250</v>
      </c>
    </row>
    <row r="717" spans="1:13" x14ac:dyDescent="0.3">
      <c r="A717" t="s">
        <v>808</v>
      </c>
      <c r="B717" s="4">
        <v>43893</v>
      </c>
      <c r="C717">
        <v>2020</v>
      </c>
      <c r="D717">
        <v>3</v>
      </c>
      <c r="E717" t="s">
        <v>16</v>
      </c>
      <c r="F717" t="s">
        <v>458</v>
      </c>
      <c r="G717" t="s">
        <v>119</v>
      </c>
      <c r="H717" t="s">
        <v>27</v>
      </c>
      <c r="I717" t="s">
        <v>738</v>
      </c>
      <c r="J717">
        <v>62</v>
      </c>
      <c r="K717" t="b">
        <f>TRUE()</f>
        <v>1</v>
      </c>
      <c r="L717" t="s">
        <v>769</v>
      </c>
      <c r="M717" t="s">
        <v>250</v>
      </c>
    </row>
    <row r="718" spans="1:13" x14ac:dyDescent="0.3">
      <c r="A718" t="s">
        <v>809</v>
      </c>
      <c r="B718" s="4">
        <v>43905</v>
      </c>
      <c r="C718">
        <v>2020</v>
      </c>
      <c r="D718">
        <v>3</v>
      </c>
      <c r="E718" t="s">
        <v>16</v>
      </c>
      <c r="F718" t="s">
        <v>118</v>
      </c>
      <c r="G718" t="s">
        <v>119</v>
      </c>
      <c r="H718" t="s">
        <v>120</v>
      </c>
      <c r="I718" t="s">
        <v>374</v>
      </c>
      <c r="J718">
        <v>178</v>
      </c>
      <c r="K718" t="b">
        <f>FALSE()</f>
        <v>0</v>
      </c>
      <c r="L718" t="s">
        <v>122</v>
      </c>
      <c r="M718" t="s">
        <v>250</v>
      </c>
    </row>
    <row r="719" spans="1:13" x14ac:dyDescent="0.3">
      <c r="A719" t="s">
        <v>810</v>
      </c>
      <c r="B719" s="4">
        <v>43905</v>
      </c>
      <c r="C719">
        <v>2020</v>
      </c>
      <c r="D719">
        <v>3</v>
      </c>
      <c r="E719" t="s">
        <v>16</v>
      </c>
      <c r="F719" t="s">
        <v>41</v>
      </c>
      <c r="G719" t="s">
        <v>18</v>
      </c>
      <c r="H719" t="s">
        <v>27</v>
      </c>
      <c r="I719" t="s">
        <v>533</v>
      </c>
      <c r="J719">
        <v>110</v>
      </c>
      <c r="K719" t="b">
        <f>FALSE()</f>
        <v>0</v>
      </c>
      <c r="L719" t="s">
        <v>29</v>
      </c>
      <c r="M719" t="s">
        <v>250</v>
      </c>
    </row>
    <row r="720" spans="1:13" x14ac:dyDescent="0.3">
      <c r="A720" t="s">
        <v>811</v>
      </c>
      <c r="B720" s="4">
        <v>43925</v>
      </c>
      <c r="C720">
        <v>2020</v>
      </c>
      <c r="D720">
        <v>4</v>
      </c>
      <c r="E720" t="s">
        <v>16</v>
      </c>
      <c r="F720" t="s">
        <v>458</v>
      </c>
      <c r="G720" t="s">
        <v>119</v>
      </c>
      <c r="H720" t="s">
        <v>27</v>
      </c>
      <c r="I720" t="s">
        <v>738</v>
      </c>
      <c r="J720">
        <v>62</v>
      </c>
      <c r="K720" t="b">
        <f>TRUE()</f>
        <v>1</v>
      </c>
      <c r="L720" t="s">
        <v>769</v>
      </c>
      <c r="M720" t="s">
        <v>250</v>
      </c>
    </row>
    <row r="721" spans="1:13" x14ac:dyDescent="0.3">
      <c r="A721" t="s">
        <v>812</v>
      </c>
      <c r="B721" s="4">
        <v>43926</v>
      </c>
      <c r="C721">
        <v>2020</v>
      </c>
      <c r="D721">
        <v>4</v>
      </c>
      <c r="E721" t="s">
        <v>16</v>
      </c>
      <c r="F721" t="s">
        <v>458</v>
      </c>
      <c r="G721" t="s">
        <v>119</v>
      </c>
      <c r="H721" t="s">
        <v>27</v>
      </c>
      <c r="I721" t="s">
        <v>738</v>
      </c>
      <c r="J721">
        <v>62</v>
      </c>
      <c r="K721" t="b">
        <f>TRUE()</f>
        <v>1</v>
      </c>
      <c r="L721" t="s">
        <v>29</v>
      </c>
      <c r="M721" t="s">
        <v>250</v>
      </c>
    </row>
    <row r="722" spans="1:13" x14ac:dyDescent="0.3">
      <c r="A722" t="s">
        <v>813</v>
      </c>
      <c r="B722" s="4">
        <v>43956</v>
      </c>
      <c r="C722">
        <v>2020</v>
      </c>
      <c r="D722">
        <v>5</v>
      </c>
      <c r="E722" t="s">
        <v>16</v>
      </c>
      <c r="F722" t="s">
        <v>458</v>
      </c>
      <c r="G722" t="s">
        <v>119</v>
      </c>
      <c r="H722" t="s">
        <v>27</v>
      </c>
      <c r="I722" t="s">
        <v>738</v>
      </c>
      <c r="J722">
        <v>62</v>
      </c>
      <c r="K722" t="b">
        <f>TRUE()</f>
        <v>1</v>
      </c>
      <c r="L722" t="s">
        <v>769</v>
      </c>
      <c r="M722" t="s">
        <v>250</v>
      </c>
    </row>
    <row r="723" spans="1:13" x14ac:dyDescent="0.3">
      <c r="A723" t="s">
        <v>814</v>
      </c>
      <c r="B723" s="4">
        <v>43963</v>
      </c>
      <c r="C723">
        <v>2020</v>
      </c>
      <c r="D723">
        <v>5</v>
      </c>
      <c r="E723" t="s">
        <v>16</v>
      </c>
      <c r="F723" t="s">
        <v>58</v>
      </c>
      <c r="G723" t="s">
        <v>18</v>
      </c>
      <c r="H723" t="s">
        <v>59</v>
      </c>
      <c r="I723" t="s">
        <v>687</v>
      </c>
      <c r="J723">
        <v>150</v>
      </c>
      <c r="K723" t="b">
        <f>FALSE()</f>
        <v>0</v>
      </c>
      <c r="L723" t="s">
        <v>343</v>
      </c>
      <c r="M723" t="s">
        <v>250</v>
      </c>
    </row>
    <row r="724" spans="1:13" x14ac:dyDescent="0.3">
      <c r="A724" t="s">
        <v>815</v>
      </c>
      <c r="B724" s="4">
        <v>43966</v>
      </c>
      <c r="C724">
        <v>2020</v>
      </c>
      <c r="D724">
        <v>5</v>
      </c>
      <c r="E724" t="s">
        <v>16</v>
      </c>
      <c r="F724" t="s">
        <v>118</v>
      </c>
      <c r="G724" t="s">
        <v>119</v>
      </c>
      <c r="H724" t="s">
        <v>120</v>
      </c>
      <c r="I724" t="s">
        <v>374</v>
      </c>
      <c r="J724">
        <v>178</v>
      </c>
      <c r="K724" t="b">
        <f>FALSE()</f>
        <v>0</v>
      </c>
      <c r="L724" t="s">
        <v>122</v>
      </c>
      <c r="M724" t="s">
        <v>250</v>
      </c>
    </row>
    <row r="725" spans="1:13" x14ac:dyDescent="0.3">
      <c r="A725" t="s">
        <v>816</v>
      </c>
      <c r="B725" s="4">
        <v>43966</v>
      </c>
      <c r="C725">
        <v>2020</v>
      </c>
      <c r="D725">
        <v>5</v>
      </c>
      <c r="E725" t="s">
        <v>16</v>
      </c>
      <c r="F725" t="s">
        <v>235</v>
      </c>
      <c r="G725" t="s">
        <v>18</v>
      </c>
      <c r="H725" t="s">
        <v>19</v>
      </c>
      <c r="I725" t="s">
        <v>45</v>
      </c>
      <c r="J725">
        <v>50</v>
      </c>
      <c r="K725" t="b">
        <f>FALSE()</f>
        <v>0</v>
      </c>
      <c r="L725" t="s">
        <v>21</v>
      </c>
      <c r="M725" t="s">
        <v>250</v>
      </c>
    </row>
    <row r="726" spans="1:13" x14ac:dyDescent="0.3">
      <c r="A726" t="s">
        <v>817</v>
      </c>
      <c r="B726" s="4">
        <v>43981</v>
      </c>
      <c r="C726">
        <v>2020</v>
      </c>
      <c r="D726">
        <v>5</v>
      </c>
      <c r="E726" t="s">
        <v>16</v>
      </c>
      <c r="F726" t="s">
        <v>458</v>
      </c>
      <c r="G726" t="s">
        <v>119</v>
      </c>
      <c r="H726" t="s">
        <v>27</v>
      </c>
      <c r="I726" t="s">
        <v>738</v>
      </c>
      <c r="J726">
        <v>62</v>
      </c>
      <c r="K726" t="b">
        <f>TRUE()</f>
        <v>1</v>
      </c>
      <c r="L726" t="s">
        <v>53</v>
      </c>
      <c r="M726" t="s">
        <v>250</v>
      </c>
    </row>
    <row r="727" spans="1:13" x14ac:dyDescent="0.3">
      <c r="A727" t="s">
        <v>818</v>
      </c>
      <c r="B727" s="4">
        <v>43988</v>
      </c>
      <c r="C727">
        <v>2020</v>
      </c>
      <c r="D727">
        <v>6</v>
      </c>
      <c r="E727" t="s">
        <v>16</v>
      </c>
      <c r="F727" t="s">
        <v>458</v>
      </c>
      <c r="G727" t="s">
        <v>119</v>
      </c>
      <c r="H727" t="s">
        <v>27</v>
      </c>
      <c r="I727" t="s">
        <v>738</v>
      </c>
      <c r="J727">
        <v>62</v>
      </c>
      <c r="K727" t="b">
        <f>TRUE()</f>
        <v>1</v>
      </c>
      <c r="L727" t="s">
        <v>769</v>
      </c>
      <c r="M727" t="s">
        <v>250</v>
      </c>
    </row>
    <row r="728" spans="1:13" x14ac:dyDescent="0.3">
      <c r="A728" t="s">
        <v>819</v>
      </c>
      <c r="B728" s="4">
        <v>43992</v>
      </c>
      <c r="C728">
        <v>2020</v>
      </c>
      <c r="D728">
        <v>6</v>
      </c>
      <c r="E728" t="s">
        <v>16</v>
      </c>
      <c r="F728" t="s">
        <v>235</v>
      </c>
      <c r="G728" t="s">
        <v>18</v>
      </c>
      <c r="H728" t="s">
        <v>19</v>
      </c>
      <c r="I728" t="s">
        <v>45</v>
      </c>
      <c r="J728">
        <v>50</v>
      </c>
      <c r="K728" t="b">
        <f>FALSE()</f>
        <v>0</v>
      </c>
      <c r="L728" t="s">
        <v>21</v>
      </c>
      <c r="M728" t="s">
        <v>250</v>
      </c>
    </row>
    <row r="729" spans="1:13" x14ac:dyDescent="0.3">
      <c r="A729" t="s">
        <v>820</v>
      </c>
      <c r="B729" s="4">
        <v>44017</v>
      </c>
      <c r="C729">
        <v>2020</v>
      </c>
      <c r="D729">
        <v>7</v>
      </c>
      <c r="E729" t="s">
        <v>16</v>
      </c>
      <c r="F729" t="s">
        <v>458</v>
      </c>
      <c r="G729" t="s">
        <v>119</v>
      </c>
      <c r="H729" t="s">
        <v>27</v>
      </c>
      <c r="I729" t="s">
        <v>738</v>
      </c>
      <c r="J729">
        <v>62</v>
      </c>
      <c r="K729" t="b">
        <f>TRUE()</f>
        <v>1</v>
      </c>
      <c r="L729" t="s">
        <v>29</v>
      </c>
      <c r="M729" t="s">
        <v>250</v>
      </c>
    </row>
    <row r="730" spans="1:13" x14ac:dyDescent="0.3">
      <c r="A730" t="s">
        <v>821</v>
      </c>
      <c r="B730" s="4">
        <v>44027</v>
      </c>
      <c r="C730">
        <v>2020</v>
      </c>
      <c r="D730">
        <v>7</v>
      </c>
      <c r="E730" t="s">
        <v>16</v>
      </c>
      <c r="F730" t="s">
        <v>118</v>
      </c>
      <c r="G730" t="s">
        <v>119</v>
      </c>
      <c r="H730" t="s">
        <v>120</v>
      </c>
      <c r="I730" t="s">
        <v>374</v>
      </c>
      <c r="J730">
        <v>178</v>
      </c>
      <c r="K730" t="b">
        <f>FALSE()</f>
        <v>0</v>
      </c>
      <c r="L730" t="s">
        <v>122</v>
      </c>
      <c r="M730" t="s">
        <v>250</v>
      </c>
    </row>
    <row r="731" spans="1:13" x14ac:dyDescent="0.3">
      <c r="A731" t="s">
        <v>822</v>
      </c>
      <c r="B731" s="4">
        <v>44035</v>
      </c>
      <c r="C731">
        <v>2020</v>
      </c>
      <c r="D731">
        <v>7</v>
      </c>
      <c r="E731" t="s">
        <v>16</v>
      </c>
      <c r="F731" t="s">
        <v>58</v>
      </c>
      <c r="G731" t="s">
        <v>18</v>
      </c>
      <c r="H731" t="s">
        <v>59</v>
      </c>
      <c r="I731" t="s">
        <v>687</v>
      </c>
      <c r="J731">
        <v>150</v>
      </c>
      <c r="K731" t="b">
        <f>FALSE()</f>
        <v>0</v>
      </c>
      <c r="L731" t="s">
        <v>823</v>
      </c>
      <c r="M731" t="s">
        <v>250</v>
      </c>
    </row>
    <row r="732" spans="1:13" x14ac:dyDescent="0.3">
      <c r="A732" t="s">
        <v>824</v>
      </c>
      <c r="B732" s="4">
        <v>44042</v>
      </c>
      <c r="C732">
        <v>2020</v>
      </c>
      <c r="D732">
        <v>7</v>
      </c>
      <c r="E732" t="s">
        <v>16</v>
      </c>
      <c r="F732" t="s">
        <v>41</v>
      </c>
      <c r="G732" t="s">
        <v>18</v>
      </c>
      <c r="H732" t="s">
        <v>27</v>
      </c>
      <c r="I732" t="s">
        <v>573</v>
      </c>
      <c r="J732">
        <v>110</v>
      </c>
      <c r="K732" t="b">
        <f>FALSE()</f>
        <v>0</v>
      </c>
      <c r="L732" t="s">
        <v>29</v>
      </c>
      <c r="M732" t="s">
        <v>250</v>
      </c>
    </row>
    <row r="733" spans="1:13" x14ac:dyDescent="0.3">
      <c r="A733" t="s">
        <v>825</v>
      </c>
      <c r="B733" s="4">
        <v>44055</v>
      </c>
      <c r="C733">
        <v>2020</v>
      </c>
      <c r="D733">
        <v>8</v>
      </c>
      <c r="E733" t="s">
        <v>16</v>
      </c>
      <c r="F733" t="s">
        <v>58</v>
      </c>
      <c r="G733" t="s">
        <v>18</v>
      </c>
      <c r="H733" t="s">
        <v>59</v>
      </c>
      <c r="I733" t="s">
        <v>687</v>
      </c>
      <c r="J733">
        <v>150</v>
      </c>
      <c r="K733" t="b">
        <f>FALSE()</f>
        <v>0</v>
      </c>
      <c r="L733" t="s">
        <v>343</v>
      </c>
      <c r="M733" t="s">
        <v>250</v>
      </c>
    </row>
    <row r="734" spans="1:13" x14ac:dyDescent="0.3">
      <c r="A734" t="s">
        <v>826</v>
      </c>
      <c r="B734" s="4">
        <v>44058</v>
      </c>
      <c r="C734">
        <v>2020</v>
      </c>
      <c r="D734">
        <v>8</v>
      </c>
      <c r="E734" t="s">
        <v>16</v>
      </c>
      <c r="F734" t="s">
        <v>235</v>
      </c>
      <c r="G734" t="s">
        <v>18</v>
      </c>
      <c r="H734" t="s">
        <v>19</v>
      </c>
      <c r="I734" t="s">
        <v>45</v>
      </c>
      <c r="J734">
        <v>50</v>
      </c>
      <c r="K734" t="b">
        <f>FALSE()</f>
        <v>0</v>
      </c>
      <c r="L734" t="s">
        <v>21</v>
      </c>
      <c r="M734" t="s">
        <v>250</v>
      </c>
    </row>
    <row r="735" spans="1:13" x14ac:dyDescent="0.3">
      <c r="A735" t="s">
        <v>827</v>
      </c>
      <c r="B735" s="4">
        <v>44063</v>
      </c>
      <c r="C735">
        <v>2020</v>
      </c>
      <c r="D735">
        <v>8</v>
      </c>
      <c r="E735" t="s">
        <v>16</v>
      </c>
      <c r="F735" t="s">
        <v>130</v>
      </c>
      <c r="G735" t="s">
        <v>18</v>
      </c>
      <c r="H735" t="s">
        <v>131</v>
      </c>
      <c r="I735" t="s">
        <v>248</v>
      </c>
      <c r="J735">
        <v>28</v>
      </c>
      <c r="K735" t="b">
        <f>FALSE()</f>
        <v>0</v>
      </c>
      <c r="L735" t="s">
        <v>249</v>
      </c>
      <c r="M735" t="s">
        <v>250</v>
      </c>
    </row>
    <row r="736" spans="1:13" x14ac:dyDescent="0.3">
      <c r="A736" t="s">
        <v>828</v>
      </c>
      <c r="B736" s="4">
        <v>44089</v>
      </c>
      <c r="C736">
        <v>2020</v>
      </c>
      <c r="D736">
        <v>9</v>
      </c>
      <c r="E736" t="s">
        <v>16</v>
      </c>
      <c r="F736" t="s">
        <v>41</v>
      </c>
      <c r="G736" t="s">
        <v>18</v>
      </c>
      <c r="H736" t="s">
        <v>27</v>
      </c>
      <c r="I736" t="s">
        <v>533</v>
      </c>
      <c r="J736">
        <v>110</v>
      </c>
      <c r="K736" t="b">
        <f>FALSE()</f>
        <v>0</v>
      </c>
      <c r="L736" t="s">
        <v>29</v>
      </c>
      <c r="M736" t="s">
        <v>250</v>
      </c>
    </row>
    <row r="737" spans="1:13" x14ac:dyDescent="0.3">
      <c r="A737" t="s">
        <v>829</v>
      </c>
      <c r="B737" s="4">
        <v>44109</v>
      </c>
      <c r="C737">
        <v>2020</v>
      </c>
      <c r="D737">
        <v>10</v>
      </c>
      <c r="E737" t="s">
        <v>16</v>
      </c>
      <c r="F737" t="s">
        <v>458</v>
      </c>
      <c r="G737" t="s">
        <v>119</v>
      </c>
      <c r="H737" t="s">
        <v>27</v>
      </c>
      <c r="I737" t="s">
        <v>738</v>
      </c>
      <c r="J737">
        <v>62</v>
      </c>
      <c r="K737" t="b">
        <f>TRUE()</f>
        <v>1</v>
      </c>
      <c r="L737" t="s">
        <v>29</v>
      </c>
      <c r="M737" t="s">
        <v>250</v>
      </c>
    </row>
    <row r="738" spans="1:13" x14ac:dyDescent="0.3">
      <c r="A738" t="s">
        <v>830</v>
      </c>
      <c r="B738" s="4">
        <v>44114</v>
      </c>
      <c r="C738">
        <v>2020</v>
      </c>
      <c r="D738">
        <v>10</v>
      </c>
      <c r="E738" t="s">
        <v>16</v>
      </c>
      <c r="F738" t="s">
        <v>235</v>
      </c>
      <c r="G738" t="s">
        <v>18</v>
      </c>
      <c r="H738" t="s">
        <v>19</v>
      </c>
      <c r="I738" t="s">
        <v>45</v>
      </c>
      <c r="J738">
        <v>50</v>
      </c>
      <c r="K738" t="b">
        <f>FALSE()</f>
        <v>0</v>
      </c>
      <c r="L738" t="s">
        <v>21</v>
      </c>
      <c r="M738" t="s">
        <v>250</v>
      </c>
    </row>
    <row r="739" spans="1:13" x14ac:dyDescent="0.3">
      <c r="A739" t="s">
        <v>831</v>
      </c>
      <c r="B739" s="4">
        <v>44147</v>
      </c>
      <c r="C739">
        <v>2020</v>
      </c>
      <c r="D739">
        <v>11</v>
      </c>
      <c r="E739" t="s">
        <v>16</v>
      </c>
      <c r="F739" t="s">
        <v>58</v>
      </c>
      <c r="G739" t="s">
        <v>18</v>
      </c>
      <c r="H739" t="s">
        <v>59</v>
      </c>
      <c r="I739" t="s">
        <v>687</v>
      </c>
      <c r="J739">
        <v>150</v>
      </c>
      <c r="K739" t="b">
        <f>FALSE()</f>
        <v>0</v>
      </c>
      <c r="L739" t="s">
        <v>343</v>
      </c>
      <c r="M739" t="s">
        <v>250</v>
      </c>
    </row>
    <row r="740" spans="1:13" x14ac:dyDescent="0.3">
      <c r="A740" t="s">
        <v>832</v>
      </c>
      <c r="B740" s="4">
        <v>44150</v>
      </c>
      <c r="C740">
        <v>2020</v>
      </c>
      <c r="D740">
        <v>11</v>
      </c>
      <c r="E740" t="s">
        <v>16</v>
      </c>
      <c r="F740" t="s">
        <v>235</v>
      </c>
      <c r="G740" t="s">
        <v>18</v>
      </c>
      <c r="H740" t="s">
        <v>19</v>
      </c>
      <c r="I740" t="s">
        <v>45</v>
      </c>
      <c r="J740">
        <v>50</v>
      </c>
      <c r="K740" t="b">
        <f>FALSE()</f>
        <v>0</v>
      </c>
      <c r="L740" t="s">
        <v>21</v>
      </c>
      <c r="M740" t="s">
        <v>250</v>
      </c>
    </row>
    <row r="741" spans="1:13" x14ac:dyDescent="0.3">
      <c r="A741" t="s">
        <v>833</v>
      </c>
      <c r="B741" s="4">
        <v>44177</v>
      </c>
      <c r="C741">
        <v>2020</v>
      </c>
      <c r="D741">
        <v>12</v>
      </c>
      <c r="E741" t="s">
        <v>16</v>
      </c>
      <c r="F741" t="s">
        <v>58</v>
      </c>
      <c r="G741" t="s">
        <v>18</v>
      </c>
      <c r="H741" t="s">
        <v>59</v>
      </c>
      <c r="I741" t="s">
        <v>687</v>
      </c>
      <c r="J741">
        <v>150</v>
      </c>
      <c r="K741" t="b">
        <f>FALSE()</f>
        <v>0</v>
      </c>
      <c r="L741" t="s">
        <v>343</v>
      </c>
      <c r="M741" t="s">
        <v>250</v>
      </c>
    </row>
    <row r="742" spans="1:13" x14ac:dyDescent="0.3">
      <c r="A742" t="s">
        <v>834</v>
      </c>
      <c r="B742" s="4">
        <v>44177</v>
      </c>
      <c r="C742">
        <v>2020</v>
      </c>
      <c r="D742">
        <v>12</v>
      </c>
      <c r="E742" t="s">
        <v>16</v>
      </c>
      <c r="F742" t="s">
        <v>58</v>
      </c>
      <c r="G742" t="s">
        <v>18</v>
      </c>
      <c r="H742" t="s">
        <v>59</v>
      </c>
      <c r="I742" t="s">
        <v>687</v>
      </c>
      <c r="J742">
        <v>150</v>
      </c>
      <c r="K742" t="b">
        <f>FALSE()</f>
        <v>0</v>
      </c>
      <c r="L742" t="s">
        <v>343</v>
      </c>
      <c r="M742" t="s">
        <v>250</v>
      </c>
    </row>
    <row r="743" spans="1:13" x14ac:dyDescent="0.3">
      <c r="A743" t="s">
        <v>835</v>
      </c>
      <c r="B743" s="4">
        <v>44197</v>
      </c>
      <c r="C743">
        <v>2021</v>
      </c>
      <c r="D743">
        <v>1</v>
      </c>
      <c r="E743" t="s">
        <v>16</v>
      </c>
      <c r="F743" t="s">
        <v>458</v>
      </c>
      <c r="G743" t="s">
        <v>119</v>
      </c>
      <c r="H743" t="s">
        <v>27</v>
      </c>
      <c r="I743" t="s">
        <v>738</v>
      </c>
      <c r="J743">
        <v>62</v>
      </c>
      <c r="K743" t="b">
        <f>TRUE()</f>
        <v>1</v>
      </c>
      <c r="L743" t="s">
        <v>769</v>
      </c>
      <c r="M743" t="s">
        <v>250</v>
      </c>
    </row>
    <row r="744" spans="1:13" x14ac:dyDescent="0.3">
      <c r="A744" t="s">
        <v>836</v>
      </c>
      <c r="B744" s="4">
        <v>44201</v>
      </c>
      <c r="C744">
        <v>2021</v>
      </c>
      <c r="D744">
        <v>1</v>
      </c>
      <c r="E744" t="s">
        <v>16</v>
      </c>
      <c r="F744" t="s">
        <v>458</v>
      </c>
      <c r="G744" t="s">
        <v>119</v>
      </c>
      <c r="H744" t="s">
        <v>27</v>
      </c>
      <c r="I744" t="s">
        <v>738</v>
      </c>
      <c r="J744">
        <v>62</v>
      </c>
      <c r="K744" t="b">
        <f>TRUE()</f>
        <v>1</v>
      </c>
      <c r="L744" t="s">
        <v>29</v>
      </c>
      <c r="M744" t="s">
        <v>250</v>
      </c>
    </row>
    <row r="745" spans="1:13" x14ac:dyDescent="0.3">
      <c r="A745" t="s">
        <v>837</v>
      </c>
      <c r="B745" s="4">
        <v>44211</v>
      </c>
      <c r="C745">
        <v>2021</v>
      </c>
      <c r="D745">
        <v>1</v>
      </c>
      <c r="E745" t="s">
        <v>16</v>
      </c>
      <c r="F745" t="s">
        <v>118</v>
      </c>
      <c r="G745" t="s">
        <v>119</v>
      </c>
      <c r="H745" t="s">
        <v>120</v>
      </c>
      <c r="I745" t="s">
        <v>374</v>
      </c>
      <c r="J745">
        <v>178</v>
      </c>
      <c r="K745" t="b">
        <f>FALSE()</f>
        <v>0</v>
      </c>
      <c r="L745" t="s">
        <v>122</v>
      </c>
      <c r="M745" t="s">
        <v>250</v>
      </c>
    </row>
    <row r="746" spans="1:13" x14ac:dyDescent="0.3">
      <c r="A746" t="s">
        <v>838</v>
      </c>
      <c r="B746" s="4">
        <v>44229</v>
      </c>
      <c r="C746">
        <v>2021</v>
      </c>
      <c r="D746">
        <v>2</v>
      </c>
      <c r="E746" t="s">
        <v>16</v>
      </c>
      <c r="F746" t="s">
        <v>458</v>
      </c>
      <c r="G746" t="s">
        <v>119</v>
      </c>
      <c r="H746" t="s">
        <v>27</v>
      </c>
      <c r="I746" t="s">
        <v>738</v>
      </c>
      <c r="J746">
        <v>62</v>
      </c>
      <c r="K746" t="b">
        <f>TRUE()</f>
        <v>1</v>
      </c>
      <c r="L746" t="s">
        <v>769</v>
      </c>
      <c r="M746" t="s">
        <v>250</v>
      </c>
    </row>
    <row r="747" spans="1:13" x14ac:dyDescent="0.3">
      <c r="A747" t="s">
        <v>839</v>
      </c>
      <c r="B747" s="4">
        <v>44237</v>
      </c>
      <c r="C747">
        <v>2021</v>
      </c>
      <c r="D747">
        <v>2</v>
      </c>
      <c r="E747" t="s">
        <v>16</v>
      </c>
      <c r="F747" t="s">
        <v>235</v>
      </c>
      <c r="G747" t="s">
        <v>18</v>
      </c>
      <c r="H747" t="s">
        <v>19</v>
      </c>
      <c r="I747" t="s">
        <v>45</v>
      </c>
      <c r="J747">
        <v>50</v>
      </c>
      <c r="K747" t="b">
        <f>FALSE()</f>
        <v>0</v>
      </c>
      <c r="L747" t="s">
        <v>21</v>
      </c>
      <c r="M747" t="s">
        <v>250</v>
      </c>
    </row>
    <row r="748" spans="1:13" x14ac:dyDescent="0.3">
      <c r="A748" t="s">
        <v>840</v>
      </c>
      <c r="B748" s="4">
        <v>44239</v>
      </c>
      <c r="C748">
        <v>2021</v>
      </c>
      <c r="D748">
        <v>2</v>
      </c>
      <c r="E748" t="s">
        <v>16</v>
      </c>
      <c r="F748" t="s">
        <v>58</v>
      </c>
      <c r="G748" t="s">
        <v>18</v>
      </c>
      <c r="H748" t="s">
        <v>59</v>
      </c>
      <c r="I748" t="s">
        <v>687</v>
      </c>
      <c r="J748">
        <v>150</v>
      </c>
      <c r="K748" t="b">
        <f>FALSE()</f>
        <v>0</v>
      </c>
      <c r="L748" t="s">
        <v>343</v>
      </c>
      <c r="M748" t="s">
        <v>250</v>
      </c>
    </row>
    <row r="749" spans="1:13" x14ac:dyDescent="0.3">
      <c r="A749" t="s">
        <v>841</v>
      </c>
      <c r="B749" s="4">
        <v>44242</v>
      </c>
      <c r="C749">
        <v>2021</v>
      </c>
      <c r="D749">
        <v>2</v>
      </c>
      <c r="E749" t="s">
        <v>16</v>
      </c>
      <c r="F749" t="s">
        <v>235</v>
      </c>
      <c r="G749" t="s">
        <v>18</v>
      </c>
      <c r="H749" t="s">
        <v>19</v>
      </c>
      <c r="I749" t="s">
        <v>45</v>
      </c>
      <c r="J749">
        <v>50</v>
      </c>
      <c r="K749" t="b">
        <f>FALSE()</f>
        <v>0</v>
      </c>
      <c r="L749" t="s">
        <v>21</v>
      </c>
      <c r="M749" t="s">
        <v>250</v>
      </c>
    </row>
    <row r="750" spans="1:13" x14ac:dyDescent="0.3">
      <c r="A750" t="s">
        <v>842</v>
      </c>
      <c r="B750" s="4">
        <v>44242</v>
      </c>
      <c r="C750">
        <v>2021</v>
      </c>
      <c r="D750">
        <v>2</v>
      </c>
      <c r="E750" t="s">
        <v>16</v>
      </c>
      <c r="F750" t="s">
        <v>235</v>
      </c>
      <c r="G750" t="s">
        <v>18</v>
      </c>
      <c r="H750" t="s">
        <v>19</v>
      </c>
      <c r="I750" t="s">
        <v>45</v>
      </c>
      <c r="J750">
        <v>50</v>
      </c>
      <c r="K750" t="b">
        <f>FALSE()</f>
        <v>0</v>
      </c>
      <c r="L750" t="s">
        <v>21</v>
      </c>
      <c r="M750" t="s">
        <v>250</v>
      </c>
    </row>
    <row r="751" spans="1:13" x14ac:dyDescent="0.3">
      <c r="A751" t="s">
        <v>843</v>
      </c>
      <c r="B751" s="4">
        <v>44247</v>
      </c>
      <c r="C751">
        <v>2021</v>
      </c>
      <c r="D751">
        <v>2</v>
      </c>
      <c r="E751" t="s">
        <v>16</v>
      </c>
      <c r="F751" t="s">
        <v>130</v>
      </c>
      <c r="G751" t="s">
        <v>18</v>
      </c>
      <c r="H751" t="s">
        <v>131</v>
      </c>
      <c r="I751" t="s">
        <v>248</v>
      </c>
      <c r="J751">
        <v>28</v>
      </c>
      <c r="K751" t="b">
        <f>FALSE()</f>
        <v>0</v>
      </c>
      <c r="L751" t="s">
        <v>249</v>
      </c>
      <c r="M751" t="s">
        <v>250</v>
      </c>
    </row>
    <row r="752" spans="1:13" x14ac:dyDescent="0.3">
      <c r="A752" t="s">
        <v>844</v>
      </c>
      <c r="B752" s="4">
        <v>44258</v>
      </c>
      <c r="C752">
        <v>2021</v>
      </c>
      <c r="D752">
        <v>3</v>
      </c>
      <c r="E752" t="s">
        <v>16</v>
      </c>
      <c r="F752" t="s">
        <v>458</v>
      </c>
      <c r="G752" t="s">
        <v>119</v>
      </c>
      <c r="H752" t="s">
        <v>27</v>
      </c>
      <c r="I752" t="s">
        <v>738</v>
      </c>
      <c r="J752">
        <v>62</v>
      </c>
      <c r="K752" t="b">
        <f>TRUE()</f>
        <v>1</v>
      </c>
      <c r="L752" t="s">
        <v>769</v>
      </c>
      <c r="M752" t="s">
        <v>250</v>
      </c>
    </row>
    <row r="753" spans="1:13" x14ac:dyDescent="0.3">
      <c r="A753" t="s">
        <v>845</v>
      </c>
      <c r="B753" s="4">
        <v>44270</v>
      </c>
      <c r="C753">
        <v>2021</v>
      </c>
      <c r="D753">
        <v>3</v>
      </c>
      <c r="E753" t="s">
        <v>16</v>
      </c>
      <c r="F753" t="s">
        <v>118</v>
      </c>
      <c r="G753" t="s">
        <v>119</v>
      </c>
      <c r="H753" t="s">
        <v>120</v>
      </c>
      <c r="I753" t="s">
        <v>374</v>
      </c>
      <c r="J753">
        <v>178</v>
      </c>
      <c r="K753" t="b">
        <f>FALSE()</f>
        <v>0</v>
      </c>
      <c r="L753" t="s">
        <v>122</v>
      </c>
      <c r="M753" t="s">
        <v>250</v>
      </c>
    </row>
    <row r="754" spans="1:13" x14ac:dyDescent="0.3">
      <c r="A754" t="s">
        <v>846</v>
      </c>
      <c r="B754" s="4">
        <v>44270</v>
      </c>
      <c r="C754">
        <v>2021</v>
      </c>
      <c r="D754">
        <v>3</v>
      </c>
      <c r="E754" t="s">
        <v>16</v>
      </c>
      <c r="F754" t="s">
        <v>41</v>
      </c>
      <c r="G754" t="s">
        <v>18</v>
      </c>
      <c r="H754" t="s">
        <v>27</v>
      </c>
      <c r="I754" t="s">
        <v>533</v>
      </c>
      <c r="J754">
        <v>110</v>
      </c>
      <c r="K754" t="b">
        <f>FALSE()</f>
        <v>0</v>
      </c>
      <c r="L754" t="s">
        <v>29</v>
      </c>
      <c r="M754" t="s">
        <v>250</v>
      </c>
    </row>
    <row r="755" spans="1:13" x14ac:dyDescent="0.3">
      <c r="A755" t="s">
        <v>847</v>
      </c>
      <c r="B755" s="4">
        <v>44290</v>
      </c>
      <c r="C755">
        <v>2021</v>
      </c>
      <c r="D755">
        <v>4</v>
      </c>
      <c r="E755" t="s">
        <v>16</v>
      </c>
      <c r="F755" t="s">
        <v>458</v>
      </c>
      <c r="G755" t="s">
        <v>119</v>
      </c>
      <c r="H755" t="s">
        <v>27</v>
      </c>
      <c r="I755" t="s">
        <v>738</v>
      </c>
      <c r="J755">
        <v>62</v>
      </c>
      <c r="K755" t="b">
        <f>TRUE()</f>
        <v>1</v>
      </c>
      <c r="L755" t="s">
        <v>769</v>
      </c>
      <c r="M755" t="s">
        <v>250</v>
      </c>
    </row>
    <row r="756" spans="1:13" x14ac:dyDescent="0.3">
      <c r="A756" t="s">
        <v>848</v>
      </c>
      <c r="B756" s="4">
        <v>44291</v>
      </c>
      <c r="C756">
        <v>2021</v>
      </c>
      <c r="D756">
        <v>4</v>
      </c>
      <c r="E756" t="s">
        <v>16</v>
      </c>
      <c r="F756" t="s">
        <v>458</v>
      </c>
      <c r="G756" t="s">
        <v>119</v>
      </c>
      <c r="H756" t="s">
        <v>27</v>
      </c>
      <c r="I756" t="s">
        <v>738</v>
      </c>
      <c r="J756">
        <v>62</v>
      </c>
      <c r="K756" t="b">
        <f>TRUE()</f>
        <v>1</v>
      </c>
      <c r="L756" t="s">
        <v>29</v>
      </c>
      <c r="M756" t="s">
        <v>250</v>
      </c>
    </row>
    <row r="757" spans="1:13" x14ac:dyDescent="0.3">
      <c r="A757" t="s">
        <v>849</v>
      </c>
      <c r="B757" s="4">
        <v>44315</v>
      </c>
      <c r="C757">
        <v>2021</v>
      </c>
      <c r="D757">
        <v>4</v>
      </c>
      <c r="E757" t="s">
        <v>16</v>
      </c>
      <c r="F757" t="s">
        <v>58</v>
      </c>
      <c r="G757" t="s">
        <v>18</v>
      </c>
      <c r="H757" t="s">
        <v>59</v>
      </c>
      <c r="I757" t="s">
        <v>850</v>
      </c>
      <c r="J757">
        <v>150</v>
      </c>
      <c r="K757" t="b">
        <f>FALSE()</f>
        <v>0</v>
      </c>
      <c r="L757" t="s">
        <v>823</v>
      </c>
      <c r="M757" t="s">
        <v>250</v>
      </c>
    </row>
    <row r="758" spans="1:13" x14ac:dyDescent="0.3">
      <c r="A758" t="s">
        <v>851</v>
      </c>
      <c r="B758" s="4">
        <v>44321</v>
      </c>
      <c r="C758">
        <v>2021</v>
      </c>
      <c r="D758">
        <v>5</v>
      </c>
      <c r="E758" t="s">
        <v>16</v>
      </c>
      <c r="F758" t="s">
        <v>458</v>
      </c>
      <c r="G758" t="s">
        <v>119</v>
      </c>
      <c r="H758" t="s">
        <v>27</v>
      </c>
      <c r="I758" t="s">
        <v>738</v>
      </c>
      <c r="J758">
        <v>62</v>
      </c>
      <c r="K758" t="b">
        <f>TRUE()</f>
        <v>1</v>
      </c>
      <c r="L758" t="s">
        <v>769</v>
      </c>
      <c r="M758" t="s">
        <v>250</v>
      </c>
    </row>
    <row r="759" spans="1:13" x14ac:dyDescent="0.3">
      <c r="A759" t="s">
        <v>852</v>
      </c>
      <c r="B759" s="4">
        <v>44328</v>
      </c>
      <c r="C759">
        <v>2021</v>
      </c>
      <c r="D759">
        <v>5</v>
      </c>
      <c r="E759" t="s">
        <v>16</v>
      </c>
      <c r="F759" t="s">
        <v>58</v>
      </c>
      <c r="G759" t="s">
        <v>18</v>
      </c>
      <c r="H759" t="s">
        <v>59</v>
      </c>
      <c r="I759" t="s">
        <v>687</v>
      </c>
      <c r="J759">
        <v>150</v>
      </c>
      <c r="K759" t="b">
        <f>FALSE()</f>
        <v>0</v>
      </c>
      <c r="L759" t="s">
        <v>343</v>
      </c>
      <c r="M759" t="s">
        <v>250</v>
      </c>
    </row>
    <row r="760" spans="1:13" x14ac:dyDescent="0.3">
      <c r="A760" t="s">
        <v>853</v>
      </c>
      <c r="B760" s="4">
        <v>44331</v>
      </c>
      <c r="C760">
        <v>2021</v>
      </c>
      <c r="D760">
        <v>5</v>
      </c>
      <c r="E760" t="s">
        <v>16</v>
      </c>
      <c r="F760" t="s">
        <v>118</v>
      </c>
      <c r="G760" t="s">
        <v>119</v>
      </c>
      <c r="H760" t="s">
        <v>120</v>
      </c>
      <c r="I760" t="s">
        <v>374</v>
      </c>
      <c r="J760">
        <v>178</v>
      </c>
      <c r="K760" t="b">
        <f>FALSE()</f>
        <v>0</v>
      </c>
      <c r="L760" t="s">
        <v>122</v>
      </c>
      <c r="M760" t="s">
        <v>250</v>
      </c>
    </row>
    <row r="761" spans="1:13" x14ac:dyDescent="0.3">
      <c r="A761" t="s">
        <v>854</v>
      </c>
      <c r="B761" s="4">
        <v>44331</v>
      </c>
      <c r="C761">
        <v>2021</v>
      </c>
      <c r="D761">
        <v>5</v>
      </c>
      <c r="E761" t="s">
        <v>16</v>
      </c>
      <c r="F761" t="s">
        <v>235</v>
      </c>
      <c r="G761" t="s">
        <v>18</v>
      </c>
      <c r="H761" t="s">
        <v>19</v>
      </c>
      <c r="I761" t="s">
        <v>45</v>
      </c>
      <c r="J761">
        <v>50</v>
      </c>
      <c r="K761" t="b">
        <f>FALSE()</f>
        <v>0</v>
      </c>
      <c r="L761" t="s">
        <v>21</v>
      </c>
      <c r="M761" t="s">
        <v>250</v>
      </c>
    </row>
    <row r="762" spans="1:13" x14ac:dyDescent="0.3">
      <c r="A762" t="s">
        <v>855</v>
      </c>
      <c r="B762" s="4">
        <v>44353</v>
      </c>
      <c r="C762">
        <v>2021</v>
      </c>
      <c r="D762">
        <v>6</v>
      </c>
      <c r="E762" t="s">
        <v>16</v>
      </c>
      <c r="F762" t="s">
        <v>458</v>
      </c>
      <c r="G762" t="s">
        <v>119</v>
      </c>
      <c r="H762" t="s">
        <v>27</v>
      </c>
      <c r="I762" t="s">
        <v>738</v>
      </c>
      <c r="J762">
        <v>62</v>
      </c>
      <c r="K762" t="b">
        <f>TRUE()</f>
        <v>1</v>
      </c>
      <c r="L762" t="s">
        <v>769</v>
      </c>
      <c r="M762" t="s">
        <v>250</v>
      </c>
    </row>
    <row r="763" spans="1:13" x14ac:dyDescent="0.3">
      <c r="A763" t="s">
        <v>856</v>
      </c>
      <c r="B763" s="4">
        <v>44357</v>
      </c>
      <c r="C763">
        <v>2021</v>
      </c>
      <c r="D763">
        <v>6</v>
      </c>
      <c r="E763" t="s">
        <v>16</v>
      </c>
      <c r="F763" t="s">
        <v>235</v>
      </c>
      <c r="G763" t="s">
        <v>18</v>
      </c>
      <c r="H763" t="s">
        <v>19</v>
      </c>
      <c r="I763" t="s">
        <v>45</v>
      </c>
      <c r="J763">
        <v>50</v>
      </c>
      <c r="K763" t="b">
        <f>FALSE()</f>
        <v>0</v>
      </c>
      <c r="L763" t="s">
        <v>21</v>
      </c>
      <c r="M763" t="s">
        <v>250</v>
      </c>
    </row>
    <row r="764" spans="1:13" x14ac:dyDescent="0.3">
      <c r="A764" t="s">
        <v>857</v>
      </c>
      <c r="B764" s="4">
        <v>44382</v>
      </c>
      <c r="C764">
        <v>2021</v>
      </c>
      <c r="D764">
        <v>7</v>
      </c>
      <c r="E764" t="s">
        <v>16</v>
      </c>
      <c r="F764" t="s">
        <v>458</v>
      </c>
      <c r="G764" t="s">
        <v>119</v>
      </c>
      <c r="H764" t="s">
        <v>27</v>
      </c>
      <c r="I764" t="s">
        <v>738</v>
      </c>
      <c r="J764">
        <v>62</v>
      </c>
      <c r="K764" t="b">
        <f>TRUE()</f>
        <v>1</v>
      </c>
      <c r="L764" t="s">
        <v>29</v>
      </c>
      <c r="M764" t="s">
        <v>250</v>
      </c>
    </row>
    <row r="765" spans="1:13" x14ac:dyDescent="0.3">
      <c r="A765" t="s">
        <v>858</v>
      </c>
      <c r="B765" s="4">
        <v>44384</v>
      </c>
      <c r="C765">
        <v>2021</v>
      </c>
      <c r="D765">
        <v>7</v>
      </c>
      <c r="E765" t="s">
        <v>16</v>
      </c>
      <c r="F765" t="s">
        <v>458</v>
      </c>
      <c r="G765" t="s">
        <v>119</v>
      </c>
      <c r="H765" t="s">
        <v>27</v>
      </c>
      <c r="I765" t="s">
        <v>738</v>
      </c>
      <c r="J765">
        <v>62</v>
      </c>
      <c r="K765" t="b">
        <f>TRUE()</f>
        <v>1</v>
      </c>
      <c r="L765" t="s">
        <v>769</v>
      </c>
      <c r="M765" t="s">
        <v>250</v>
      </c>
    </row>
    <row r="766" spans="1:13" x14ac:dyDescent="0.3">
      <c r="A766" t="s">
        <v>859</v>
      </c>
      <c r="B766" s="4">
        <v>44392</v>
      </c>
      <c r="C766">
        <v>2021</v>
      </c>
      <c r="D766">
        <v>7</v>
      </c>
      <c r="E766" t="s">
        <v>16</v>
      </c>
      <c r="F766" t="s">
        <v>118</v>
      </c>
      <c r="G766" t="s">
        <v>119</v>
      </c>
      <c r="H766" t="s">
        <v>120</v>
      </c>
      <c r="I766" t="s">
        <v>374</v>
      </c>
      <c r="J766">
        <v>178</v>
      </c>
      <c r="K766" t="b">
        <f>FALSE()</f>
        <v>0</v>
      </c>
      <c r="L766" t="s">
        <v>122</v>
      </c>
      <c r="M766" t="s">
        <v>250</v>
      </c>
    </row>
    <row r="767" spans="1:13" x14ac:dyDescent="0.3">
      <c r="A767" t="s">
        <v>860</v>
      </c>
      <c r="B767" s="4">
        <v>44397</v>
      </c>
      <c r="C767">
        <v>2021</v>
      </c>
      <c r="D767">
        <v>7</v>
      </c>
      <c r="E767" t="s">
        <v>16</v>
      </c>
      <c r="F767" t="s">
        <v>664</v>
      </c>
      <c r="G767" t="s">
        <v>119</v>
      </c>
      <c r="H767" t="s">
        <v>27</v>
      </c>
      <c r="I767" t="s">
        <v>665</v>
      </c>
      <c r="J767">
        <v>0</v>
      </c>
      <c r="K767" t="b">
        <f>TRUE()</f>
        <v>1</v>
      </c>
      <c r="L767" t="s">
        <v>666</v>
      </c>
      <c r="M767" t="s">
        <v>250</v>
      </c>
    </row>
    <row r="768" spans="1:13" x14ac:dyDescent="0.3">
      <c r="A768" t="s">
        <v>861</v>
      </c>
      <c r="B768" s="4">
        <v>44416</v>
      </c>
      <c r="C768">
        <v>2021</v>
      </c>
      <c r="D768">
        <v>8</v>
      </c>
      <c r="E768" t="s">
        <v>16</v>
      </c>
      <c r="F768" t="s">
        <v>458</v>
      </c>
      <c r="G768" t="s">
        <v>119</v>
      </c>
      <c r="H768" t="s">
        <v>27</v>
      </c>
      <c r="I768" t="s">
        <v>738</v>
      </c>
      <c r="J768">
        <v>62</v>
      </c>
      <c r="K768" t="b">
        <f>TRUE()</f>
        <v>1</v>
      </c>
      <c r="L768" t="s">
        <v>769</v>
      </c>
      <c r="M768" t="s">
        <v>250</v>
      </c>
    </row>
    <row r="769" spans="1:13" x14ac:dyDescent="0.3">
      <c r="A769" t="s">
        <v>862</v>
      </c>
      <c r="B769" s="4">
        <v>44420</v>
      </c>
      <c r="C769">
        <v>2021</v>
      </c>
      <c r="D769">
        <v>8</v>
      </c>
      <c r="E769" t="s">
        <v>16</v>
      </c>
      <c r="F769" t="s">
        <v>58</v>
      </c>
      <c r="G769" t="s">
        <v>18</v>
      </c>
      <c r="H769" t="s">
        <v>59</v>
      </c>
      <c r="I769" t="s">
        <v>687</v>
      </c>
      <c r="J769">
        <v>150</v>
      </c>
      <c r="K769" t="b">
        <f>FALSE()</f>
        <v>0</v>
      </c>
      <c r="L769" t="s">
        <v>343</v>
      </c>
      <c r="M769" t="s">
        <v>250</v>
      </c>
    </row>
    <row r="770" spans="1:13" x14ac:dyDescent="0.3">
      <c r="A770" t="s">
        <v>863</v>
      </c>
      <c r="B770" s="4">
        <v>44423</v>
      </c>
      <c r="C770">
        <v>2021</v>
      </c>
      <c r="D770">
        <v>8</v>
      </c>
      <c r="E770" t="s">
        <v>16</v>
      </c>
      <c r="F770" t="s">
        <v>235</v>
      </c>
      <c r="G770" t="s">
        <v>18</v>
      </c>
      <c r="H770" t="s">
        <v>19</v>
      </c>
      <c r="I770" t="s">
        <v>45</v>
      </c>
      <c r="J770">
        <v>50</v>
      </c>
      <c r="K770" t="b">
        <f>FALSE()</f>
        <v>0</v>
      </c>
      <c r="L770" t="s">
        <v>21</v>
      </c>
      <c r="M770" t="s">
        <v>250</v>
      </c>
    </row>
    <row r="771" spans="1:13" x14ac:dyDescent="0.3">
      <c r="A771" t="s">
        <v>864</v>
      </c>
      <c r="B771" s="4">
        <v>44428</v>
      </c>
      <c r="C771">
        <v>2021</v>
      </c>
      <c r="D771">
        <v>8</v>
      </c>
      <c r="E771" t="s">
        <v>16</v>
      </c>
      <c r="F771" t="s">
        <v>130</v>
      </c>
      <c r="G771" t="s">
        <v>18</v>
      </c>
      <c r="H771" t="s">
        <v>131</v>
      </c>
      <c r="I771" t="s">
        <v>248</v>
      </c>
      <c r="J771">
        <v>28</v>
      </c>
      <c r="K771" t="b">
        <f>FALSE()</f>
        <v>0</v>
      </c>
      <c r="L771" t="s">
        <v>249</v>
      </c>
      <c r="M771" t="s">
        <v>250</v>
      </c>
    </row>
    <row r="772" spans="1:13" x14ac:dyDescent="0.3">
      <c r="A772" t="s">
        <v>865</v>
      </c>
      <c r="B772" s="4">
        <v>44448</v>
      </c>
      <c r="C772">
        <v>2021</v>
      </c>
      <c r="D772">
        <v>9</v>
      </c>
      <c r="E772" t="s">
        <v>16</v>
      </c>
      <c r="F772" t="s">
        <v>458</v>
      </c>
      <c r="G772" t="s">
        <v>119</v>
      </c>
      <c r="H772" t="s">
        <v>27</v>
      </c>
      <c r="I772" t="s">
        <v>738</v>
      </c>
      <c r="J772">
        <v>62</v>
      </c>
      <c r="K772" t="b">
        <f>TRUE()</f>
        <v>1</v>
      </c>
      <c r="L772" t="s">
        <v>769</v>
      </c>
      <c r="M772" t="s">
        <v>250</v>
      </c>
    </row>
    <row r="773" spans="1:13" x14ac:dyDescent="0.3">
      <c r="A773" t="s">
        <v>866</v>
      </c>
      <c r="B773" s="4">
        <v>44454</v>
      </c>
      <c r="C773">
        <v>2021</v>
      </c>
      <c r="D773">
        <v>9</v>
      </c>
      <c r="E773" t="s">
        <v>16</v>
      </c>
      <c r="F773" t="s">
        <v>41</v>
      </c>
      <c r="G773" t="s">
        <v>18</v>
      </c>
      <c r="H773" t="s">
        <v>27</v>
      </c>
      <c r="I773" t="s">
        <v>533</v>
      </c>
      <c r="J773">
        <v>110</v>
      </c>
      <c r="K773" t="b">
        <f>FALSE()</f>
        <v>0</v>
      </c>
      <c r="L773" t="s">
        <v>29</v>
      </c>
      <c r="M773" t="s">
        <v>250</v>
      </c>
    </row>
    <row r="774" spans="1:13" x14ac:dyDescent="0.3">
      <c r="A774" t="s">
        <v>867</v>
      </c>
      <c r="B774" s="4">
        <v>44474</v>
      </c>
      <c r="C774">
        <v>2021</v>
      </c>
      <c r="D774">
        <v>10</v>
      </c>
      <c r="E774" t="s">
        <v>16</v>
      </c>
      <c r="F774" t="s">
        <v>458</v>
      </c>
      <c r="G774" t="s">
        <v>119</v>
      </c>
      <c r="H774" t="s">
        <v>27</v>
      </c>
      <c r="I774" t="s">
        <v>738</v>
      </c>
      <c r="J774">
        <v>62</v>
      </c>
      <c r="K774" t="b">
        <f>TRUE()</f>
        <v>1</v>
      </c>
      <c r="L774" t="s">
        <v>29</v>
      </c>
      <c r="M774" t="s">
        <v>250</v>
      </c>
    </row>
    <row r="775" spans="1:13" x14ac:dyDescent="0.3">
      <c r="A775" t="s">
        <v>868</v>
      </c>
      <c r="B775" s="4">
        <v>44479</v>
      </c>
      <c r="C775">
        <v>2021</v>
      </c>
      <c r="D775">
        <v>10</v>
      </c>
      <c r="E775" t="s">
        <v>16</v>
      </c>
      <c r="F775" t="s">
        <v>235</v>
      </c>
      <c r="G775" t="s">
        <v>18</v>
      </c>
      <c r="H775" t="s">
        <v>19</v>
      </c>
      <c r="I775" t="s">
        <v>45</v>
      </c>
      <c r="J775">
        <v>50</v>
      </c>
      <c r="K775" t="b">
        <f>FALSE()</f>
        <v>0</v>
      </c>
      <c r="L775" t="s">
        <v>21</v>
      </c>
      <c r="M775" t="s">
        <v>250</v>
      </c>
    </row>
    <row r="776" spans="1:13" x14ac:dyDescent="0.3">
      <c r="A776" t="s">
        <v>869</v>
      </c>
      <c r="B776" s="4">
        <v>44479</v>
      </c>
      <c r="C776">
        <v>2021</v>
      </c>
      <c r="D776">
        <v>10</v>
      </c>
      <c r="E776" t="s">
        <v>16</v>
      </c>
      <c r="F776" t="s">
        <v>458</v>
      </c>
      <c r="G776" t="s">
        <v>119</v>
      </c>
      <c r="H776" t="s">
        <v>27</v>
      </c>
      <c r="I776" t="s">
        <v>738</v>
      </c>
      <c r="J776">
        <v>62</v>
      </c>
      <c r="K776" t="b">
        <f>TRUE()</f>
        <v>1</v>
      </c>
      <c r="L776" t="s">
        <v>769</v>
      </c>
      <c r="M776" t="s">
        <v>250</v>
      </c>
    </row>
    <row r="777" spans="1:13" x14ac:dyDescent="0.3">
      <c r="A777" t="s">
        <v>870</v>
      </c>
      <c r="B777" s="4">
        <v>44512</v>
      </c>
      <c r="C777">
        <v>2021</v>
      </c>
      <c r="D777">
        <v>11</v>
      </c>
      <c r="E777" t="s">
        <v>16</v>
      </c>
      <c r="F777" t="s">
        <v>58</v>
      </c>
      <c r="G777" t="s">
        <v>18</v>
      </c>
      <c r="H777" t="s">
        <v>59</v>
      </c>
      <c r="I777" t="s">
        <v>687</v>
      </c>
      <c r="J777">
        <v>150</v>
      </c>
      <c r="K777" t="b">
        <f>FALSE()</f>
        <v>0</v>
      </c>
      <c r="L777" t="s">
        <v>343</v>
      </c>
      <c r="M777" t="s">
        <v>250</v>
      </c>
    </row>
    <row r="778" spans="1:13" x14ac:dyDescent="0.3">
      <c r="A778" t="s">
        <v>871</v>
      </c>
      <c r="B778" s="4">
        <v>44515</v>
      </c>
      <c r="C778">
        <v>2021</v>
      </c>
      <c r="D778">
        <v>11</v>
      </c>
      <c r="E778" t="s">
        <v>16</v>
      </c>
      <c r="F778" t="s">
        <v>235</v>
      </c>
      <c r="G778" t="s">
        <v>18</v>
      </c>
      <c r="H778" t="s">
        <v>19</v>
      </c>
      <c r="I778" t="s">
        <v>45</v>
      </c>
      <c r="J778">
        <v>50</v>
      </c>
      <c r="K778" t="b">
        <f>FALSE()</f>
        <v>0</v>
      </c>
      <c r="L778" t="s">
        <v>21</v>
      </c>
      <c r="M778" t="s">
        <v>250</v>
      </c>
    </row>
    <row r="779" spans="1:13" x14ac:dyDescent="0.3">
      <c r="A779" t="s">
        <v>872</v>
      </c>
      <c r="B779" s="4">
        <v>44542</v>
      </c>
      <c r="C779">
        <v>2021</v>
      </c>
      <c r="D779">
        <v>12</v>
      </c>
      <c r="E779" t="s">
        <v>16</v>
      </c>
      <c r="F779" t="s">
        <v>58</v>
      </c>
      <c r="G779" t="s">
        <v>18</v>
      </c>
      <c r="H779" t="s">
        <v>59</v>
      </c>
      <c r="I779" t="s">
        <v>687</v>
      </c>
      <c r="J779">
        <v>150</v>
      </c>
      <c r="K779" t="b">
        <f>FALSE()</f>
        <v>0</v>
      </c>
      <c r="L779" t="s">
        <v>343</v>
      </c>
      <c r="M779" t="s">
        <v>250</v>
      </c>
    </row>
    <row r="780" spans="1:13" x14ac:dyDescent="0.3">
      <c r="A780" t="s">
        <v>873</v>
      </c>
      <c r="B780" s="4">
        <v>44542</v>
      </c>
      <c r="C780">
        <v>2021</v>
      </c>
      <c r="D780">
        <v>12</v>
      </c>
      <c r="E780" t="s">
        <v>16</v>
      </c>
      <c r="F780" t="s">
        <v>58</v>
      </c>
      <c r="G780" t="s">
        <v>18</v>
      </c>
      <c r="H780" t="s">
        <v>59</v>
      </c>
      <c r="I780" t="s">
        <v>687</v>
      </c>
      <c r="J780">
        <v>150</v>
      </c>
      <c r="K780" t="b">
        <f>FALSE()</f>
        <v>0</v>
      </c>
      <c r="L780" t="s">
        <v>343</v>
      </c>
      <c r="M780" t="s">
        <v>250</v>
      </c>
    </row>
    <row r="781" spans="1:13" x14ac:dyDescent="0.3">
      <c r="A781" t="s">
        <v>874</v>
      </c>
      <c r="B781" s="4">
        <v>44555</v>
      </c>
      <c r="C781">
        <v>2021</v>
      </c>
      <c r="D781">
        <v>12</v>
      </c>
      <c r="E781" t="s">
        <v>16</v>
      </c>
      <c r="F781" t="s">
        <v>118</v>
      </c>
      <c r="G781" t="s">
        <v>119</v>
      </c>
      <c r="H781" t="s">
        <v>120</v>
      </c>
      <c r="I781" t="s">
        <v>875</v>
      </c>
      <c r="J781">
        <v>178</v>
      </c>
      <c r="K781" t="b">
        <f>FALSE()</f>
        <v>0</v>
      </c>
      <c r="L781" t="s">
        <v>122</v>
      </c>
      <c r="M781" t="s">
        <v>22</v>
      </c>
    </row>
    <row r="782" spans="1:13" x14ac:dyDescent="0.3">
      <c r="A782" t="s">
        <v>876</v>
      </c>
      <c r="B782" s="4">
        <v>44555</v>
      </c>
      <c r="C782">
        <v>2021</v>
      </c>
      <c r="D782">
        <v>12</v>
      </c>
      <c r="E782" t="s">
        <v>16</v>
      </c>
      <c r="F782" t="s">
        <v>41</v>
      </c>
      <c r="G782" t="s">
        <v>18</v>
      </c>
      <c r="H782" t="s">
        <v>27</v>
      </c>
      <c r="I782" t="s">
        <v>875</v>
      </c>
      <c r="J782">
        <v>178</v>
      </c>
      <c r="K782" t="b">
        <f>FALSE()</f>
        <v>0</v>
      </c>
      <c r="L782" t="s">
        <v>122</v>
      </c>
      <c r="M782" t="s">
        <v>22</v>
      </c>
    </row>
    <row r="783" spans="1:13" x14ac:dyDescent="0.3">
      <c r="A783" t="s">
        <v>877</v>
      </c>
      <c r="B783" s="4">
        <v>44562</v>
      </c>
      <c r="C783">
        <v>2022</v>
      </c>
      <c r="D783">
        <v>1</v>
      </c>
      <c r="E783" t="s">
        <v>16</v>
      </c>
      <c r="F783" t="s">
        <v>458</v>
      </c>
      <c r="G783" t="s">
        <v>119</v>
      </c>
      <c r="H783" t="s">
        <v>27</v>
      </c>
      <c r="I783" t="s">
        <v>738</v>
      </c>
      <c r="J783">
        <v>62</v>
      </c>
      <c r="K783" t="b">
        <f>TRUE()</f>
        <v>1</v>
      </c>
      <c r="L783" t="s">
        <v>769</v>
      </c>
      <c r="M783" t="s">
        <v>250</v>
      </c>
    </row>
    <row r="784" spans="1:13" x14ac:dyDescent="0.3">
      <c r="A784" t="s">
        <v>878</v>
      </c>
      <c r="B784" s="4">
        <v>44566</v>
      </c>
      <c r="C784">
        <v>2022</v>
      </c>
      <c r="D784">
        <v>1</v>
      </c>
      <c r="E784" t="s">
        <v>16</v>
      </c>
      <c r="F784" t="s">
        <v>458</v>
      </c>
      <c r="G784" t="s">
        <v>119</v>
      </c>
      <c r="H784" t="s">
        <v>27</v>
      </c>
      <c r="I784" t="s">
        <v>738</v>
      </c>
      <c r="J784">
        <v>62</v>
      </c>
      <c r="K784" t="b">
        <f>TRUE()</f>
        <v>1</v>
      </c>
      <c r="L784" t="s">
        <v>29</v>
      </c>
      <c r="M784" t="s">
        <v>250</v>
      </c>
    </row>
    <row r="785" spans="1:13" x14ac:dyDescent="0.3">
      <c r="A785" t="s">
        <v>879</v>
      </c>
      <c r="B785" s="4">
        <v>44576</v>
      </c>
      <c r="C785">
        <v>2022</v>
      </c>
      <c r="D785">
        <v>1</v>
      </c>
      <c r="E785" t="s">
        <v>16</v>
      </c>
      <c r="F785" t="s">
        <v>118</v>
      </c>
      <c r="G785" t="s">
        <v>119</v>
      </c>
      <c r="H785" t="s">
        <v>120</v>
      </c>
      <c r="I785" t="s">
        <v>374</v>
      </c>
      <c r="J785">
        <v>178</v>
      </c>
      <c r="K785" t="b">
        <f>FALSE()</f>
        <v>0</v>
      </c>
      <c r="L785" t="s">
        <v>122</v>
      </c>
      <c r="M785" t="s">
        <v>250</v>
      </c>
    </row>
    <row r="786" spans="1:13" x14ac:dyDescent="0.3">
      <c r="A786" t="s">
        <v>880</v>
      </c>
      <c r="B786" s="4">
        <v>44594</v>
      </c>
      <c r="C786">
        <v>2022</v>
      </c>
      <c r="D786">
        <v>2</v>
      </c>
      <c r="E786" t="s">
        <v>16</v>
      </c>
      <c r="F786" t="s">
        <v>458</v>
      </c>
      <c r="G786" t="s">
        <v>119</v>
      </c>
      <c r="H786" t="s">
        <v>27</v>
      </c>
      <c r="I786" t="s">
        <v>738</v>
      </c>
      <c r="J786">
        <v>62</v>
      </c>
      <c r="K786" t="b">
        <f>TRUE()</f>
        <v>1</v>
      </c>
      <c r="L786" t="s">
        <v>769</v>
      </c>
      <c r="M786" t="s">
        <v>250</v>
      </c>
    </row>
    <row r="787" spans="1:13" x14ac:dyDescent="0.3">
      <c r="A787" t="s">
        <v>881</v>
      </c>
      <c r="B787" s="4">
        <v>44602</v>
      </c>
      <c r="C787">
        <v>2022</v>
      </c>
      <c r="D787">
        <v>2</v>
      </c>
      <c r="E787" t="s">
        <v>16</v>
      </c>
      <c r="F787" t="s">
        <v>235</v>
      </c>
      <c r="G787" t="s">
        <v>18</v>
      </c>
      <c r="H787" t="s">
        <v>19</v>
      </c>
      <c r="I787" t="s">
        <v>45</v>
      </c>
      <c r="J787">
        <v>50</v>
      </c>
      <c r="K787" t="b">
        <f>FALSE()</f>
        <v>0</v>
      </c>
      <c r="L787" t="s">
        <v>21</v>
      </c>
      <c r="M787" t="s">
        <v>250</v>
      </c>
    </row>
    <row r="788" spans="1:13" x14ac:dyDescent="0.3">
      <c r="A788" t="s">
        <v>882</v>
      </c>
      <c r="B788" s="4">
        <v>44604</v>
      </c>
      <c r="C788">
        <v>2022</v>
      </c>
      <c r="D788">
        <v>2</v>
      </c>
      <c r="E788" t="s">
        <v>16</v>
      </c>
      <c r="F788" t="s">
        <v>58</v>
      </c>
      <c r="G788" t="s">
        <v>18</v>
      </c>
      <c r="H788" t="s">
        <v>59</v>
      </c>
      <c r="I788" t="s">
        <v>687</v>
      </c>
      <c r="J788">
        <v>150</v>
      </c>
      <c r="K788" t="b">
        <f>FALSE()</f>
        <v>0</v>
      </c>
      <c r="L788" t="s">
        <v>343</v>
      </c>
      <c r="M788" t="s">
        <v>250</v>
      </c>
    </row>
    <row r="789" spans="1:13" x14ac:dyDescent="0.3">
      <c r="A789" t="s">
        <v>883</v>
      </c>
      <c r="B789" s="4">
        <v>44607</v>
      </c>
      <c r="C789">
        <v>2022</v>
      </c>
      <c r="D789">
        <v>2</v>
      </c>
      <c r="E789" t="s">
        <v>16</v>
      </c>
      <c r="F789" t="s">
        <v>235</v>
      </c>
      <c r="G789" t="s">
        <v>18</v>
      </c>
      <c r="H789" t="s">
        <v>19</v>
      </c>
      <c r="I789" t="s">
        <v>45</v>
      </c>
      <c r="J789">
        <v>50</v>
      </c>
      <c r="K789" t="b">
        <f>FALSE()</f>
        <v>0</v>
      </c>
      <c r="L789" t="s">
        <v>21</v>
      </c>
      <c r="M789" t="s">
        <v>250</v>
      </c>
    </row>
    <row r="790" spans="1:13" x14ac:dyDescent="0.3">
      <c r="A790" t="s">
        <v>884</v>
      </c>
      <c r="B790" s="4">
        <v>44607</v>
      </c>
      <c r="C790">
        <v>2022</v>
      </c>
      <c r="D790">
        <v>2</v>
      </c>
      <c r="E790" t="s">
        <v>16</v>
      </c>
      <c r="F790" t="s">
        <v>235</v>
      </c>
      <c r="G790" t="s">
        <v>18</v>
      </c>
      <c r="H790" t="s">
        <v>19</v>
      </c>
      <c r="I790" t="s">
        <v>45</v>
      </c>
      <c r="J790">
        <v>50</v>
      </c>
      <c r="K790" t="b">
        <f>FALSE()</f>
        <v>0</v>
      </c>
      <c r="L790" t="s">
        <v>21</v>
      </c>
      <c r="M790" t="s">
        <v>250</v>
      </c>
    </row>
    <row r="791" spans="1:13" x14ac:dyDescent="0.3">
      <c r="A791" t="s">
        <v>885</v>
      </c>
      <c r="B791" s="4">
        <v>44612</v>
      </c>
      <c r="C791">
        <v>2022</v>
      </c>
      <c r="D791">
        <v>2</v>
      </c>
      <c r="E791" t="s">
        <v>16</v>
      </c>
      <c r="F791" t="s">
        <v>130</v>
      </c>
      <c r="G791" t="s">
        <v>18</v>
      </c>
      <c r="H791" t="s">
        <v>131</v>
      </c>
      <c r="I791" t="s">
        <v>248</v>
      </c>
      <c r="J791">
        <v>28</v>
      </c>
      <c r="K791" t="b">
        <f>FALSE()</f>
        <v>0</v>
      </c>
      <c r="L791" t="s">
        <v>249</v>
      </c>
      <c r="M791" t="s">
        <v>250</v>
      </c>
    </row>
    <row r="792" spans="1:13" x14ac:dyDescent="0.3">
      <c r="A792" t="s">
        <v>886</v>
      </c>
      <c r="B792" s="4">
        <v>44623</v>
      </c>
      <c r="C792">
        <v>2022</v>
      </c>
      <c r="D792">
        <v>3</v>
      </c>
      <c r="E792" t="s">
        <v>16</v>
      </c>
      <c r="F792" t="s">
        <v>458</v>
      </c>
      <c r="G792" t="s">
        <v>119</v>
      </c>
      <c r="H792" t="s">
        <v>27</v>
      </c>
      <c r="I792" t="s">
        <v>738</v>
      </c>
      <c r="J792">
        <v>62</v>
      </c>
      <c r="K792" t="b">
        <f>TRUE()</f>
        <v>1</v>
      </c>
      <c r="L792" t="s">
        <v>769</v>
      </c>
      <c r="M792" t="s">
        <v>250</v>
      </c>
    </row>
    <row r="793" spans="1:13" x14ac:dyDescent="0.3">
      <c r="A793" t="s">
        <v>887</v>
      </c>
      <c r="B793" s="4">
        <v>44635</v>
      </c>
      <c r="C793">
        <v>2022</v>
      </c>
      <c r="D793">
        <v>3</v>
      </c>
      <c r="E793" t="s">
        <v>16</v>
      </c>
      <c r="F793" t="s">
        <v>41</v>
      </c>
      <c r="G793" t="s">
        <v>18</v>
      </c>
      <c r="H793" t="s">
        <v>27</v>
      </c>
      <c r="I793" t="s">
        <v>533</v>
      </c>
      <c r="J793">
        <v>110</v>
      </c>
      <c r="K793" t="b">
        <f>FALSE()</f>
        <v>0</v>
      </c>
      <c r="L793" t="s">
        <v>29</v>
      </c>
      <c r="M793" t="s">
        <v>250</v>
      </c>
    </row>
    <row r="794" spans="1:13" x14ac:dyDescent="0.3">
      <c r="A794" t="s">
        <v>888</v>
      </c>
      <c r="B794" s="4">
        <v>44635</v>
      </c>
      <c r="C794">
        <v>2022</v>
      </c>
      <c r="D794">
        <v>3</v>
      </c>
      <c r="E794" t="s">
        <v>16</v>
      </c>
      <c r="F794" t="s">
        <v>118</v>
      </c>
      <c r="G794" t="s">
        <v>119</v>
      </c>
      <c r="H794" t="s">
        <v>120</v>
      </c>
      <c r="I794" t="s">
        <v>374</v>
      </c>
      <c r="J794">
        <v>178</v>
      </c>
      <c r="K794" t="b">
        <f>FALSE()</f>
        <v>0</v>
      </c>
      <c r="L794" t="s">
        <v>122</v>
      </c>
      <c r="M794" t="s">
        <v>250</v>
      </c>
    </row>
    <row r="795" spans="1:13" x14ac:dyDescent="0.3">
      <c r="A795" t="s">
        <v>889</v>
      </c>
      <c r="B795" s="4">
        <v>44655</v>
      </c>
      <c r="C795">
        <v>2022</v>
      </c>
      <c r="D795">
        <v>4</v>
      </c>
      <c r="E795" t="s">
        <v>16</v>
      </c>
      <c r="F795" t="s">
        <v>458</v>
      </c>
      <c r="G795" t="s">
        <v>119</v>
      </c>
      <c r="H795" t="s">
        <v>27</v>
      </c>
      <c r="I795" t="s">
        <v>738</v>
      </c>
      <c r="J795">
        <v>62</v>
      </c>
      <c r="K795" t="b">
        <f>TRUE()</f>
        <v>1</v>
      </c>
      <c r="L795" t="s">
        <v>769</v>
      </c>
      <c r="M795" t="s">
        <v>250</v>
      </c>
    </row>
    <row r="796" spans="1:13" x14ac:dyDescent="0.3">
      <c r="A796" t="s">
        <v>890</v>
      </c>
      <c r="B796" s="4">
        <v>44656</v>
      </c>
      <c r="C796">
        <v>2022</v>
      </c>
      <c r="D796">
        <v>4</v>
      </c>
      <c r="E796" t="s">
        <v>16</v>
      </c>
      <c r="F796" t="s">
        <v>458</v>
      </c>
      <c r="G796" t="s">
        <v>119</v>
      </c>
      <c r="H796" t="s">
        <v>27</v>
      </c>
      <c r="I796" t="s">
        <v>738</v>
      </c>
      <c r="J796">
        <v>62</v>
      </c>
      <c r="K796" t="b">
        <f>TRUE()</f>
        <v>1</v>
      </c>
      <c r="L796" t="s">
        <v>29</v>
      </c>
      <c r="M796" t="s">
        <v>250</v>
      </c>
    </row>
    <row r="797" spans="1:13" x14ac:dyDescent="0.3">
      <c r="A797" t="s">
        <v>891</v>
      </c>
      <c r="B797" s="4">
        <v>44686</v>
      </c>
      <c r="C797">
        <v>2022</v>
      </c>
      <c r="D797">
        <v>5</v>
      </c>
      <c r="E797" t="s">
        <v>16</v>
      </c>
      <c r="F797" t="s">
        <v>458</v>
      </c>
      <c r="G797" t="s">
        <v>119</v>
      </c>
      <c r="H797" t="s">
        <v>27</v>
      </c>
      <c r="I797" t="s">
        <v>738</v>
      </c>
      <c r="J797">
        <v>62</v>
      </c>
      <c r="K797" t="b">
        <f>TRUE()</f>
        <v>1</v>
      </c>
      <c r="L797" t="s">
        <v>769</v>
      </c>
      <c r="M797" t="s">
        <v>250</v>
      </c>
    </row>
    <row r="798" spans="1:13" x14ac:dyDescent="0.3">
      <c r="A798" t="s">
        <v>892</v>
      </c>
      <c r="B798" s="4">
        <v>44693</v>
      </c>
      <c r="C798">
        <v>2022</v>
      </c>
      <c r="D798">
        <v>5</v>
      </c>
      <c r="E798" t="s">
        <v>16</v>
      </c>
      <c r="F798" t="s">
        <v>58</v>
      </c>
      <c r="G798" t="s">
        <v>18</v>
      </c>
      <c r="H798" t="s">
        <v>59</v>
      </c>
      <c r="I798" t="s">
        <v>687</v>
      </c>
      <c r="J798">
        <v>150</v>
      </c>
      <c r="K798" t="b">
        <f>FALSE()</f>
        <v>0</v>
      </c>
      <c r="L798" t="s">
        <v>343</v>
      </c>
      <c r="M798" t="s">
        <v>250</v>
      </c>
    </row>
    <row r="799" spans="1:13" x14ac:dyDescent="0.3">
      <c r="A799" t="s">
        <v>893</v>
      </c>
      <c r="B799" s="4">
        <v>44696</v>
      </c>
      <c r="C799">
        <v>2022</v>
      </c>
      <c r="D799">
        <v>5</v>
      </c>
      <c r="E799" t="s">
        <v>16</v>
      </c>
      <c r="F799" t="s">
        <v>118</v>
      </c>
      <c r="G799" t="s">
        <v>119</v>
      </c>
      <c r="H799" t="s">
        <v>120</v>
      </c>
      <c r="I799" t="s">
        <v>374</v>
      </c>
      <c r="J799">
        <v>178</v>
      </c>
      <c r="K799" t="b">
        <f>FALSE()</f>
        <v>0</v>
      </c>
      <c r="L799" t="s">
        <v>122</v>
      </c>
      <c r="M799" t="s">
        <v>250</v>
      </c>
    </row>
    <row r="800" spans="1:13" x14ac:dyDescent="0.3">
      <c r="A800" t="s">
        <v>894</v>
      </c>
      <c r="B800" s="4">
        <v>44696</v>
      </c>
      <c r="C800">
        <v>2022</v>
      </c>
      <c r="D800">
        <v>5</v>
      </c>
      <c r="E800" t="s">
        <v>16</v>
      </c>
      <c r="F800" t="s">
        <v>235</v>
      </c>
      <c r="G800" t="s">
        <v>18</v>
      </c>
      <c r="H800" t="s">
        <v>19</v>
      </c>
      <c r="I800" t="s">
        <v>45</v>
      </c>
      <c r="J800">
        <v>50</v>
      </c>
      <c r="K800" t="b">
        <f>FALSE()</f>
        <v>0</v>
      </c>
      <c r="L800" t="s">
        <v>21</v>
      </c>
      <c r="M800" t="s">
        <v>250</v>
      </c>
    </row>
    <row r="801" spans="1:13" x14ac:dyDescent="0.3">
      <c r="A801" t="s">
        <v>895</v>
      </c>
      <c r="B801" s="4">
        <v>44718</v>
      </c>
      <c r="C801">
        <v>2022</v>
      </c>
      <c r="D801">
        <v>6</v>
      </c>
      <c r="E801" t="s">
        <v>16</v>
      </c>
      <c r="F801" t="s">
        <v>458</v>
      </c>
      <c r="G801" t="s">
        <v>119</v>
      </c>
      <c r="H801" t="s">
        <v>27</v>
      </c>
      <c r="I801" t="s">
        <v>738</v>
      </c>
      <c r="J801">
        <v>62</v>
      </c>
      <c r="K801" t="b">
        <f>TRUE()</f>
        <v>1</v>
      </c>
      <c r="L801" t="s">
        <v>769</v>
      </c>
      <c r="M801" t="s">
        <v>250</v>
      </c>
    </row>
    <row r="802" spans="1:13" x14ac:dyDescent="0.3">
      <c r="A802" t="s">
        <v>896</v>
      </c>
      <c r="B802" s="4">
        <v>44722</v>
      </c>
      <c r="C802">
        <v>2022</v>
      </c>
      <c r="D802">
        <v>6</v>
      </c>
      <c r="E802" t="s">
        <v>16</v>
      </c>
      <c r="F802" t="s">
        <v>235</v>
      </c>
      <c r="G802" t="s">
        <v>18</v>
      </c>
      <c r="H802" t="s">
        <v>19</v>
      </c>
      <c r="I802" t="s">
        <v>45</v>
      </c>
      <c r="J802">
        <v>50</v>
      </c>
      <c r="K802" t="b">
        <f>FALSE()</f>
        <v>0</v>
      </c>
      <c r="L802" t="s">
        <v>21</v>
      </c>
      <c r="M802" t="s">
        <v>250</v>
      </c>
    </row>
    <row r="803" spans="1:13" x14ac:dyDescent="0.3">
      <c r="A803" t="s">
        <v>897</v>
      </c>
      <c r="B803" s="4">
        <v>44747</v>
      </c>
      <c r="C803">
        <v>2022</v>
      </c>
      <c r="D803">
        <v>7</v>
      </c>
      <c r="E803" t="s">
        <v>16</v>
      </c>
      <c r="F803" t="s">
        <v>458</v>
      </c>
      <c r="G803" t="s">
        <v>119</v>
      </c>
      <c r="H803" t="s">
        <v>27</v>
      </c>
      <c r="I803" t="s">
        <v>738</v>
      </c>
      <c r="J803">
        <v>62</v>
      </c>
      <c r="K803" t="b">
        <f>TRUE()</f>
        <v>1</v>
      </c>
      <c r="L803" t="s">
        <v>29</v>
      </c>
      <c r="M803" t="s">
        <v>250</v>
      </c>
    </row>
    <row r="804" spans="1:13" x14ac:dyDescent="0.3">
      <c r="A804" t="s">
        <v>898</v>
      </c>
      <c r="B804" s="4">
        <v>44749</v>
      </c>
      <c r="C804">
        <v>2022</v>
      </c>
      <c r="D804">
        <v>7</v>
      </c>
      <c r="E804" t="s">
        <v>16</v>
      </c>
      <c r="F804" t="s">
        <v>458</v>
      </c>
      <c r="G804" t="s">
        <v>119</v>
      </c>
      <c r="H804" t="s">
        <v>27</v>
      </c>
      <c r="I804" t="s">
        <v>738</v>
      </c>
      <c r="J804">
        <v>62</v>
      </c>
      <c r="K804" t="b">
        <f>TRUE()</f>
        <v>1</v>
      </c>
      <c r="L804" t="s">
        <v>769</v>
      </c>
      <c r="M804" t="s">
        <v>250</v>
      </c>
    </row>
    <row r="805" spans="1:13" x14ac:dyDescent="0.3">
      <c r="A805" t="s">
        <v>899</v>
      </c>
      <c r="B805" s="4">
        <v>44757</v>
      </c>
      <c r="C805">
        <v>2022</v>
      </c>
      <c r="D805">
        <v>7</v>
      </c>
      <c r="E805" t="s">
        <v>16</v>
      </c>
      <c r="F805" t="s">
        <v>118</v>
      </c>
      <c r="G805" t="s">
        <v>119</v>
      </c>
      <c r="H805" t="s">
        <v>120</v>
      </c>
      <c r="I805" t="s">
        <v>374</v>
      </c>
      <c r="J805">
        <v>178</v>
      </c>
      <c r="K805" t="b">
        <f>FALSE()</f>
        <v>0</v>
      </c>
      <c r="L805" t="s">
        <v>122</v>
      </c>
      <c r="M805" t="s">
        <v>250</v>
      </c>
    </row>
    <row r="806" spans="1:13" x14ac:dyDescent="0.3">
      <c r="A806" t="s">
        <v>900</v>
      </c>
      <c r="B806" s="4">
        <v>44781</v>
      </c>
      <c r="C806">
        <v>2022</v>
      </c>
      <c r="D806">
        <v>8</v>
      </c>
      <c r="E806" t="s">
        <v>16</v>
      </c>
      <c r="F806" t="s">
        <v>458</v>
      </c>
      <c r="G806" t="s">
        <v>119</v>
      </c>
      <c r="H806" t="s">
        <v>27</v>
      </c>
      <c r="I806" t="s">
        <v>738</v>
      </c>
      <c r="J806">
        <v>62</v>
      </c>
      <c r="K806" t="b">
        <f>TRUE()</f>
        <v>1</v>
      </c>
      <c r="L806" t="s">
        <v>769</v>
      </c>
      <c r="M806" t="s">
        <v>250</v>
      </c>
    </row>
    <row r="807" spans="1:13" x14ac:dyDescent="0.3">
      <c r="A807" t="s">
        <v>901</v>
      </c>
      <c r="B807" s="4">
        <v>44785</v>
      </c>
      <c r="C807">
        <v>2022</v>
      </c>
      <c r="D807">
        <v>8</v>
      </c>
      <c r="E807" t="s">
        <v>16</v>
      </c>
      <c r="F807" t="s">
        <v>58</v>
      </c>
      <c r="G807" t="s">
        <v>18</v>
      </c>
      <c r="H807" t="s">
        <v>59</v>
      </c>
      <c r="I807" t="s">
        <v>687</v>
      </c>
      <c r="J807">
        <v>150</v>
      </c>
      <c r="K807" t="b">
        <f>FALSE()</f>
        <v>0</v>
      </c>
      <c r="L807" t="s">
        <v>343</v>
      </c>
      <c r="M807" t="s">
        <v>250</v>
      </c>
    </row>
    <row r="808" spans="1:13" x14ac:dyDescent="0.3">
      <c r="A808" t="s">
        <v>902</v>
      </c>
      <c r="B808" s="4">
        <v>44788</v>
      </c>
      <c r="C808">
        <v>2022</v>
      </c>
      <c r="D808">
        <v>8</v>
      </c>
      <c r="E808" t="s">
        <v>16</v>
      </c>
      <c r="F808" t="s">
        <v>235</v>
      </c>
      <c r="G808" t="s">
        <v>18</v>
      </c>
      <c r="H808" t="s">
        <v>19</v>
      </c>
      <c r="I808" t="s">
        <v>45</v>
      </c>
      <c r="J808">
        <v>50</v>
      </c>
      <c r="K808" t="b">
        <f>FALSE()</f>
        <v>0</v>
      </c>
      <c r="L808" t="s">
        <v>21</v>
      </c>
      <c r="M808" t="s">
        <v>250</v>
      </c>
    </row>
    <row r="809" spans="1:13" x14ac:dyDescent="0.3">
      <c r="A809" t="s">
        <v>903</v>
      </c>
      <c r="B809" s="4">
        <v>44793</v>
      </c>
      <c r="C809">
        <v>2022</v>
      </c>
      <c r="D809">
        <v>8</v>
      </c>
      <c r="E809" t="s">
        <v>16</v>
      </c>
      <c r="F809" t="s">
        <v>130</v>
      </c>
      <c r="G809" t="s">
        <v>18</v>
      </c>
      <c r="H809" t="s">
        <v>131</v>
      </c>
      <c r="I809" t="s">
        <v>248</v>
      </c>
      <c r="J809">
        <v>28</v>
      </c>
      <c r="K809" t="b">
        <f>FALSE()</f>
        <v>0</v>
      </c>
      <c r="L809" t="s">
        <v>249</v>
      </c>
      <c r="M809" t="s">
        <v>250</v>
      </c>
    </row>
    <row r="810" spans="1:13" x14ac:dyDescent="0.3">
      <c r="A810" t="s">
        <v>904</v>
      </c>
      <c r="B810" s="4">
        <v>44813</v>
      </c>
      <c r="C810">
        <v>2022</v>
      </c>
      <c r="D810">
        <v>9</v>
      </c>
      <c r="E810" t="s">
        <v>16</v>
      </c>
      <c r="F810" t="s">
        <v>458</v>
      </c>
      <c r="G810" t="s">
        <v>119</v>
      </c>
      <c r="H810" t="s">
        <v>27</v>
      </c>
      <c r="I810" t="s">
        <v>738</v>
      </c>
      <c r="J810">
        <v>62</v>
      </c>
      <c r="K810" t="b">
        <f>TRUE()</f>
        <v>1</v>
      </c>
      <c r="L810" t="s">
        <v>769</v>
      </c>
      <c r="M810" t="s">
        <v>250</v>
      </c>
    </row>
    <row r="811" spans="1:13" x14ac:dyDescent="0.3">
      <c r="A811" t="s">
        <v>905</v>
      </c>
      <c r="B811" s="4">
        <v>44819</v>
      </c>
      <c r="C811">
        <v>2022</v>
      </c>
      <c r="D811">
        <v>9</v>
      </c>
      <c r="E811" t="s">
        <v>16</v>
      </c>
      <c r="F811" t="s">
        <v>41</v>
      </c>
      <c r="G811" t="s">
        <v>18</v>
      </c>
      <c r="H811" t="s">
        <v>27</v>
      </c>
      <c r="I811" t="s">
        <v>533</v>
      </c>
      <c r="J811">
        <v>110</v>
      </c>
      <c r="K811" t="b">
        <f>FALSE()</f>
        <v>0</v>
      </c>
      <c r="L811" t="s">
        <v>29</v>
      </c>
      <c r="M811" t="s">
        <v>250</v>
      </c>
    </row>
    <row r="812" spans="1:13" x14ac:dyDescent="0.3">
      <c r="A812" t="s">
        <v>906</v>
      </c>
      <c r="B812" s="4">
        <v>44839</v>
      </c>
      <c r="C812">
        <v>2022</v>
      </c>
      <c r="D812">
        <v>10</v>
      </c>
      <c r="E812" t="s">
        <v>16</v>
      </c>
      <c r="F812" t="s">
        <v>458</v>
      </c>
      <c r="G812" t="s">
        <v>119</v>
      </c>
      <c r="H812" t="s">
        <v>27</v>
      </c>
      <c r="I812" t="s">
        <v>738</v>
      </c>
      <c r="J812">
        <v>62</v>
      </c>
      <c r="K812" t="b">
        <f>TRUE()</f>
        <v>1</v>
      </c>
      <c r="L812" t="s">
        <v>29</v>
      </c>
      <c r="M812" t="s">
        <v>250</v>
      </c>
    </row>
    <row r="813" spans="1:13" x14ac:dyDescent="0.3">
      <c r="A813" t="s">
        <v>907</v>
      </c>
      <c r="B813" s="4">
        <v>44844</v>
      </c>
      <c r="C813">
        <v>2022</v>
      </c>
      <c r="D813">
        <v>10</v>
      </c>
      <c r="E813" t="s">
        <v>16</v>
      </c>
      <c r="F813" t="s">
        <v>458</v>
      </c>
      <c r="G813" t="s">
        <v>119</v>
      </c>
      <c r="H813" t="s">
        <v>27</v>
      </c>
      <c r="I813" t="s">
        <v>738</v>
      </c>
      <c r="J813">
        <v>62</v>
      </c>
      <c r="K813" t="b">
        <f>TRUE()</f>
        <v>1</v>
      </c>
      <c r="L813" t="s">
        <v>769</v>
      </c>
      <c r="M813" t="s">
        <v>250</v>
      </c>
    </row>
    <row r="814" spans="1:13" x14ac:dyDescent="0.3">
      <c r="A814" t="s">
        <v>908</v>
      </c>
      <c r="B814" s="4">
        <v>44844</v>
      </c>
      <c r="C814">
        <v>2022</v>
      </c>
      <c r="D814">
        <v>10</v>
      </c>
      <c r="E814" t="s">
        <v>16</v>
      </c>
      <c r="F814" t="s">
        <v>235</v>
      </c>
      <c r="G814" t="s">
        <v>18</v>
      </c>
      <c r="H814" t="s">
        <v>19</v>
      </c>
      <c r="I814" t="s">
        <v>45</v>
      </c>
      <c r="J814">
        <v>50</v>
      </c>
      <c r="K814" t="b">
        <f>FALSE()</f>
        <v>0</v>
      </c>
      <c r="L814" t="s">
        <v>21</v>
      </c>
      <c r="M814" t="s">
        <v>250</v>
      </c>
    </row>
    <row r="815" spans="1:13" x14ac:dyDescent="0.3">
      <c r="A815" t="s">
        <v>909</v>
      </c>
      <c r="B815" s="4">
        <v>44877</v>
      </c>
      <c r="C815">
        <v>2022</v>
      </c>
      <c r="D815">
        <v>11</v>
      </c>
      <c r="E815" t="s">
        <v>16</v>
      </c>
      <c r="F815" t="s">
        <v>58</v>
      </c>
      <c r="G815" t="s">
        <v>18</v>
      </c>
      <c r="H815" t="s">
        <v>59</v>
      </c>
      <c r="I815" t="s">
        <v>687</v>
      </c>
      <c r="J815">
        <v>150</v>
      </c>
      <c r="K815" t="b">
        <f>FALSE()</f>
        <v>0</v>
      </c>
      <c r="L815" t="s">
        <v>343</v>
      </c>
      <c r="M815" t="s">
        <v>250</v>
      </c>
    </row>
    <row r="816" spans="1:13" x14ac:dyDescent="0.3">
      <c r="A816" t="s">
        <v>910</v>
      </c>
      <c r="B816" s="4">
        <v>44880</v>
      </c>
      <c r="C816">
        <v>2022</v>
      </c>
      <c r="D816">
        <v>11</v>
      </c>
      <c r="E816" t="s">
        <v>16</v>
      </c>
      <c r="F816" t="s">
        <v>235</v>
      </c>
      <c r="G816" t="s">
        <v>18</v>
      </c>
      <c r="H816" t="s">
        <v>19</v>
      </c>
      <c r="I816" t="s">
        <v>45</v>
      </c>
      <c r="J816">
        <v>50</v>
      </c>
      <c r="K816" t="b">
        <f>FALSE()</f>
        <v>0</v>
      </c>
      <c r="L816" t="s">
        <v>21</v>
      </c>
      <c r="M816" t="s">
        <v>250</v>
      </c>
    </row>
    <row r="817" spans="1:13" x14ac:dyDescent="0.3">
      <c r="A817" t="s">
        <v>911</v>
      </c>
      <c r="B817" s="4">
        <v>44881</v>
      </c>
      <c r="C817">
        <v>2022</v>
      </c>
      <c r="D817">
        <v>11</v>
      </c>
      <c r="E817" t="s">
        <v>16</v>
      </c>
      <c r="F817" t="s">
        <v>41</v>
      </c>
      <c r="G817" t="s">
        <v>18</v>
      </c>
      <c r="H817" t="s">
        <v>27</v>
      </c>
      <c r="I817" t="s">
        <v>912</v>
      </c>
      <c r="J817">
        <v>4100</v>
      </c>
      <c r="K817" t="b">
        <f>FALSE()</f>
        <v>0</v>
      </c>
      <c r="L817" t="s">
        <v>53</v>
      </c>
      <c r="M817" t="s">
        <v>250</v>
      </c>
    </row>
    <row r="818" spans="1:13" x14ac:dyDescent="0.3">
      <c r="A818" t="s">
        <v>913</v>
      </c>
      <c r="B818" s="4">
        <v>44907</v>
      </c>
      <c r="C818">
        <v>2022</v>
      </c>
      <c r="D818">
        <v>12</v>
      </c>
      <c r="E818" t="s">
        <v>16</v>
      </c>
      <c r="F818" t="s">
        <v>58</v>
      </c>
      <c r="G818" t="s">
        <v>18</v>
      </c>
      <c r="H818" t="s">
        <v>59</v>
      </c>
      <c r="I818" t="s">
        <v>687</v>
      </c>
      <c r="J818">
        <v>150</v>
      </c>
      <c r="K818" t="b">
        <f>FALSE()</f>
        <v>0</v>
      </c>
      <c r="L818" t="s">
        <v>343</v>
      </c>
      <c r="M818" t="s">
        <v>250</v>
      </c>
    </row>
    <row r="819" spans="1:13" x14ac:dyDescent="0.3">
      <c r="A819" t="s">
        <v>914</v>
      </c>
      <c r="B819" s="4">
        <v>44907</v>
      </c>
      <c r="C819">
        <v>2022</v>
      </c>
      <c r="D819">
        <v>12</v>
      </c>
      <c r="E819" t="s">
        <v>16</v>
      </c>
      <c r="F819" t="s">
        <v>58</v>
      </c>
      <c r="G819" t="s">
        <v>18</v>
      </c>
      <c r="H819" t="s">
        <v>59</v>
      </c>
      <c r="I819" t="s">
        <v>687</v>
      </c>
      <c r="J819">
        <v>150</v>
      </c>
      <c r="K819" t="b">
        <f>FALSE()</f>
        <v>0</v>
      </c>
      <c r="L819" t="s">
        <v>343</v>
      </c>
      <c r="M819" t="s">
        <v>250</v>
      </c>
    </row>
    <row r="820" spans="1:13" x14ac:dyDescent="0.3">
      <c r="A820" t="s">
        <v>915</v>
      </c>
      <c r="B820" s="4">
        <v>44927</v>
      </c>
      <c r="C820">
        <v>2023</v>
      </c>
      <c r="D820">
        <v>1</v>
      </c>
      <c r="E820" t="s">
        <v>16</v>
      </c>
      <c r="F820" t="s">
        <v>458</v>
      </c>
      <c r="G820" t="s">
        <v>119</v>
      </c>
      <c r="H820" t="s">
        <v>27</v>
      </c>
      <c r="I820" t="s">
        <v>738</v>
      </c>
      <c r="J820">
        <v>62</v>
      </c>
      <c r="K820" t="b">
        <f>TRUE()</f>
        <v>1</v>
      </c>
      <c r="L820" t="s">
        <v>769</v>
      </c>
      <c r="M820" t="s">
        <v>250</v>
      </c>
    </row>
    <row r="821" spans="1:13" x14ac:dyDescent="0.3">
      <c r="A821" t="s">
        <v>916</v>
      </c>
      <c r="B821" s="4">
        <v>44931</v>
      </c>
      <c r="C821">
        <v>2023</v>
      </c>
      <c r="D821">
        <v>1</v>
      </c>
      <c r="E821" t="s">
        <v>16</v>
      </c>
      <c r="F821" t="s">
        <v>458</v>
      </c>
      <c r="G821" t="s">
        <v>119</v>
      </c>
      <c r="H821" t="s">
        <v>27</v>
      </c>
      <c r="I821" t="s">
        <v>738</v>
      </c>
      <c r="J821">
        <v>62</v>
      </c>
      <c r="K821" t="b">
        <f>TRUE()</f>
        <v>1</v>
      </c>
      <c r="L821" t="s">
        <v>29</v>
      </c>
      <c r="M821" t="s">
        <v>250</v>
      </c>
    </row>
    <row r="822" spans="1:13" x14ac:dyDescent="0.3">
      <c r="A822" t="s">
        <v>917</v>
      </c>
      <c r="B822" s="4">
        <v>44941</v>
      </c>
      <c r="C822">
        <v>2023</v>
      </c>
      <c r="D822">
        <v>1</v>
      </c>
      <c r="E822" t="s">
        <v>16</v>
      </c>
      <c r="F822" t="s">
        <v>118</v>
      </c>
      <c r="G822" t="s">
        <v>119</v>
      </c>
      <c r="H822" t="s">
        <v>120</v>
      </c>
      <c r="I822" t="s">
        <v>374</v>
      </c>
      <c r="J822">
        <v>178</v>
      </c>
      <c r="K822" t="b">
        <f>FALSE()</f>
        <v>0</v>
      </c>
      <c r="L822" t="s">
        <v>122</v>
      </c>
      <c r="M822" t="s">
        <v>22</v>
      </c>
    </row>
    <row r="823" spans="1:13" x14ac:dyDescent="0.3">
      <c r="A823" t="s">
        <v>918</v>
      </c>
      <c r="B823" s="4">
        <v>44959</v>
      </c>
      <c r="C823">
        <v>2023</v>
      </c>
      <c r="D823">
        <v>2</v>
      </c>
      <c r="E823" t="s">
        <v>16</v>
      </c>
      <c r="F823" t="s">
        <v>458</v>
      </c>
      <c r="G823" t="s">
        <v>119</v>
      </c>
      <c r="H823" t="s">
        <v>27</v>
      </c>
      <c r="I823" t="s">
        <v>738</v>
      </c>
      <c r="J823">
        <v>62</v>
      </c>
      <c r="K823" t="b">
        <f>TRUE()</f>
        <v>1</v>
      </c>
      <c r="L823" t="s">
        <v>769</v>
      </c>
      <c r="M823" t="s">
        <v>250</v>
      </c>
    </row>
    <row r="824" spans="1:13" x14ac:dyDescent="0.3">
      <c r="A824" t="s">
        <v>919</v>
      </c>
      <c r="B824" s="4">
        <v>44967</v>
      </c>
      <c r="C824">
        <v>2023</v>
      </c>
      <c r="D824">
        <v>2</v>
      </c>
      <c r="E824" t="s">
        <v>16</v>
      </c>
      <c r="F824" t="s">
        <v>235</v>
      </c>
      <c r="G824" t="s">
        <v>18</v>
      </c>
      <c r="H824" t="s">
        <v>19</v>
      </c>
      <c r="I824" t="s">
        <v>45</v>
      </c>
      <c r="J824">
        <v>50</v>
      </c>
      <c r="K824" t="b">
        <f>FALSE()</f>
        <v>0</v>
      </c>
      <c r="L824" t="s">
        <v>21</v>
      </c>
      <c r="M824" t="s">
        <v>250</v>
      </c>
    </row>
    <row r="825" spans="1:13" x14ac:dyDescent="0.3">
      <c r="A825" t="s">
        <v>920</v>
      </c>
      <c r="B825" s="4">
        <v>44969</v>
      </c>
      <c r="C825">
        <v>2023</v>
      </c>
      <c r="D825">
        <v>2</v>
      </c>
      <c r="E825" t="s">
        <v>16</v>
      </c>
      <c r="F825" t="s">
        <v>58</v>
      </c>
      <c r="G825" t="s">
        <v>18</v>
      </c>
      <c r="H825" t="s">
        <v>59</v>
      </c>
      <c r="I825" t="s">
        <v>687</v>
      </c>
      <c r="J825">
        <v>150</v>
      </c>
      <c r="K825" t="b">
        <f>FALSE()</f>
        <v>0</v>
      </c>
      <c r="L825" t="s">
        <v>343</v>
      </c>
      <c r="M825" t="s">
        <v>250</v>
      </c>
    </row>
    <row r="826" spans="1:13" x14ac:dyDescent="0.3">
      <c r="A826" t="s">
        <v>921</v>
      </c>
      <c r="B826" s="4">
        <v>44972</v>
      </c>
      <c r="C826">
        <v>2023</v>
      </c>
      <c r="D826">
        <v>2</v>
      </c>
      <c r="E826" t="s">
        <v>16</v>
      </c>
      <c r="F826" t="s">
        <v>235</v>
      </c>
      <c r="G826" t="s">
        <v>18</v>
      </c>
      <c r="H826" t="s">
        <v>19</v>
      </c>
      <c r="I826" t="s">
        <v>45</v>
      </c>
      <c r="J826">
        <v>50</v>
      </c>
      <c r="K826" t="b">
        <f>FALSE()</f>
        <v>0</v>
      </c>
      <c r="L826" t="s">
        <v>21</v>
      </c>
      <c r="M826" t="s">
        <v>250</v>
      </c>
    </row>
    <row r="827" spans="1:13" x14ac:dyDescent="0.3">
      <c r="A827" t="s">
        <v>922</v>
      </c>
      <c r="B827" s="4">
        <v>44972</v>
      </c>
      <c r="C827">
        <v>2023</v>
      </c>
      <c r="D827">
        <v>2</v>
      </c>
      <c r="E827" t="s">
        <v>16</v>
      </c>
      <c r="F827" t="s">
        <v>235</v>
      </c>
      <c r="G827" t="s">
        <v>18</v>
      </c>
      <c r="H827" t="s">
        <v>19</v>
      </c>
      <c r="I827" t="s">
        <v>45</v>
      </c>
      <c r="J827">
        <v>50</v>
      </c>
      <c r="K827" t="b">
        <f>FALSE()</f>
        <v>0</v>
      </c>
      <c r="L827" t="s">
        <v>21</v>
      </c>
      <c r="M827" t="s">
        <v>250</v>
      </c>
    </row>
    <row r="828" spans="1:13" x14ac:dyDescent="0.3">
      <c r="A828" t="s">
        <v>923</v>
      </c>
      <c r="B828" s="4">
        <v>44977</v>
      </c>
      <c r="C828">
        <v>2023</v>
      </c>
      <c r="D828">
        <v>2</v>
      </c>
      <c r="E828" t="s">
        <v>16</v>
      </c>
      <c r="F828" t="s">
        <v>130</v>
      </c>
      <c r="G828" t="s">
        <v>18</v>
      </c>
      <c r="H828" t="s">
        <v>131</v>
      </c>
      <c r="I828" t="s">
        <v>248</v>
      </c>
      <c r="J828">
        <v>28</v>
      </c>
      <c r="K828" t="b">
        <f>FALSE()</f>
        <v>0</v>
      </c>
      <c r="L828" t="s">
        <v>249</v>
      </c>
      <c r="M828" t="s">
        <v>250</v>
      </c>
    </row>
    <row r="829" spans="1:13" x14ac:dyDescent="0.3">
      <c r="A829" t="s">
        <v>924</v>
      </c>
      <c r="B829" s="4">
        <v>44988</v>
      </c>
      <c r="C829">
        <v>2023</v>
      </c>
      <c r="D829">
        <v>3</v>
      </c>
      <c r="E829" t="s">
        <v>16</v>
      </c>
      <c r="F829" t="s">
        <v>458</v>
      </c>
      <c r="G829" t="s">
        <v>119</v>
      </c>
      <c r="H829" t="s">
        <v>27</v>
      </c>
      <c r="I829" t="s">
        <v>738</v>
      </c>
      <c r="J829">
        <v>62</v>
      </c>
      <c r="K829" t="b">
        <f>TRUE()</f>
        <v>1</v>
      </c>
      <c r="L829" t="s">
        <v>769</v>
      </c>
      <c r="M829" t="s">
        <v>250</v>
      </c>
    </row>
    <row r="830" spans="1:13" x14ac:dyDescent="0.3">
      <c r="A830" t="s">
        <v>925</v>
      </c>
      <c r="B830" s="4">
        <v>45000</v>
      </c>
      <c r="C830">
        <v>2023</v>
      </c>
      <c r="D830">
        <v>3</v>
      </c>
      <c r="E830" t="s">
        <v>16</v>
      </c>
      <c r="F830" t="s">
        <v>41</v>
      </c>
      <c r="G830" t="s">
        <v>18</v>
      </c>
      <c r="H830" t="s">
        <v>27</v>
      </c>
      <c r="I830" t="s">
        <v>533</v>
      </c>
      <c r="J830">
        <v>110</v>
      </c>
      <c r="K830" t="b">
        <f>FALSE()</f>
        <v>0</v>
      </c>
      <c r="L830" t="s">
        <v>29</v>
      </c>
      <c r="M830" t="s">
        <v>250</v>
      </c>
    </row>
    <row r="831" spans="1:13" x14ac:dyDescent="0.3">
      <c r="A831" t="s">
        <v>926</v>
      </c>
      <c r="B831" s="4">
        <v>45000</v>
      </c>
      <c r="C831">
        <v>2023</v>
      </c>
      <c r="D831">
        <v>3</v>
      </c>
      <c r="E831" t="s">
        <v>16</v>
      </c>
      <c r="F831" t="s">
        <v>118</v>
      </c>
      <c r="G831" t="s">
        <v>119</v>
      </c>
      <c r="H831" t="s">
        <v>120</v>
      </c>
      <c r="I831" t="s">
        <v>374</v>
      </c>
      <c r="J831">
        <v>178</v>
      </c>
      <c r="K831" t="b">
        <f>FALSE()</f>
        <v>0</v>
      </c>
      <c r="L831" t="s">
        <v>122</v>
      </c>
      <c r="M831" t="s">
        <v>22</v>
      </c>
    </row>
    <row r="832" spans="1:13" x14ac:dyDescent="0.3">
      <c r="A832" t="s">
        <v>927</v>
      </c>
      <c r="B832" s="4">
        <v>45020</v>
      </c>
      <c r="C832">
        <v>2023</v>
      </c>
      <c r="D832">
        <v>4</v>
      </c>
      <c r="E832" t="s">
        <v>16</v>
      </c>
      <c r="F832" t="s">
        <v>458</v>
      </c>
      <c r="G832" t="s">
        <v>119</v>
      </c>
      <c r="H832" t="s">
        <v>27</v>
      </c>
      <c r="I832" t="s">
        <v>738</v>
      </c>
      <c r="J832">
        <v>62</v>
      </c>
      <c r="K832" t="b">
        <f>TRUE()</f>
        <v>1</v>
      </c>
      <c r="L832" t="s">
        <v>769</v>
      </c>
      <c r="M832" t="s">
        <v>250</v>
      </c>
    </row>
    <row r="833" spans="1:13" x14ac:dyDescent="0.3">
      <c r="A833" t="s">
        <v>928</v>
      </c>
      <c r="B833" s="4">
        <v>45021</v>
      </c>
      <c r="C833">
        <v>2023</v>
      </c>
      <c r="D833">
        <v>4</v>
      </c>
      <c r="E833" t="s">
        <v>16</v>
      </c>
      <c r="F833" t="s">
        <v>458</v>
      </c>
      <c r="G833" t="s">
        <v>119</v>
      </c>
      <c r="H833" t="s">
        <v>27</v>
      </c>
      <c r="I833" t="s">
        <v>738</v>
      </c>
      <c r="J833">
        <v>62</v>
      </c>
      <c r="K833" t="b">
        <f>TRUE()</f>
        <v>1</v>
      </c>
      <c r="L833" t="s">
        <v>29</v>
      </c>
      <c r="M833" t="s">
        <v>250</v>
      </c>
    </row>
    <row r="834" spans="1:13" x14ac:dyDescent="0.3">
      <c r="A834" t="s">
        <v>929</v>
      </c>
      <c r="B834" s="4">
        <v>45051</v>
      </c>
      <c r="C834">
        <v>2023</v>
      </c>
      <c r="D834">
        <v>5</v>
      </c>
      <c r="E834" t="s">
        <v>16</v>
      </c>
      <c r="F834" t="s">
        <v>458</v>
      </c>
      <c r="G834" t="s">
        <v>119</v>
      </c>
      <c r="H834" t="s">
        <v>27</v>
      </c>
      <c r="I834" t="s">
        <v>738</v>
      </c>
      <c r="J834">
        <v>62</v>
      </c>
      <c r="K834" t="b">
        <f>TRUE()</f>
        <v>1</v>
      </c>
      <c r="L834" t="s">
        <v>769</v>
      </c>
      <c r="M834" t="s">
        <v>250</v>
      </c>
    </row>
    <row r="835" spans="1:13" x14ac:dyDescent="0.3">
      <c r="A835" t="s">
        <v>930</v>
      </c>
      <c r="B835" s="4">
        <v>45058</v>
      </c>
      <c r="C835">
        <v>2023</v>
      </c>
      <c r="D835">
        <v>5</v>
      </c>
      <c r="E835" t="s">
        <v>16</v>
      </c>
      <c r="F835" t="s">
        <v>58</v>
      </c>
      <c r="G835" t="s">
        <v>18</v>
      </c>
      <c r="H835" t="s">
        <v>59</v>
      </c>
      <c r="I835" t="s">
        <v>687</v>
      </c>
      <c r="J835">
        <v>150</v>
      </c>
      <c r="K835" t="b">
        <f>FALSE()</f>
        <v>0</v>
      </c>
      <c r="L835" t="s">
        <v>343</v>
      </c>
      <c r="M835" t="s">
        <v>250</v>
      </c>
    </row>
    <row r="836" spans="1:13" x14ac:dyDescent="0.3">
      <c r="A836" t="s">
        <v>931</v>
      </c>
      <c r="B836" s="4">
        <v>45061</v>
      </c>
      <c r="C836">
        <v>2023</v>
      </c>
      <c r="D836">
        <v>5</v>
      </c>
      <c r="E836" t="s">
        <v>16</v>
      </c>
      <c r="F836" t="s">
        <v>118</v>
      </c>
      <c r="G836" t="s">
        <v>119</v>
      </c>
      <c r="H836" t="s">
        <v>120</v>
      </c>
      <c r="I836" t="s">
        <v>374</v>
      </c>
      <c r="J836">
        <v>178</v>
      </c>
      <c r="K836" t="b">
        <f>FALSE()</f>
        <v>0</v>
      </c>
      <c r="L836" t="s">
        <v>122</v>
      </c>
      <c r="M836" t="s">
        <v>22</v>
      </c>
    </row>
    <row r="837" spans="1:13" x14ac:dyDescent="0.3">
      <c r="A837" t="s">
        <v>932</v>
      </c>
      <c r="B837" s="4">
        <v>45061</v>
      </c>
      <c r="C837">
        <v>2023</v>
      </c>
      <c r="D837">
        <v>5</v>
      </c>
      <c r="E837" t="s">
        <v>16</v>
      </c>
      <c r="F837" t="s">
        <v>235</v>
      </c>
      <c r="G837" t="s">
        <v>18</v>
      </c>
      <c r="H837" t="s">
        <v>19</v>
      </c>
      <c r="I837" t="s">
        <v>45</v>
      </c>
      <c r="J837">
        <v>50</v>
      </c>
      <c r="K837" t="b">
        <f>FALSE()</f>
        <v>0</v>
      </c>
      <c r="L837" t="s">
        <v>21</v>
      </c>
      <c r="M837" t="s">
        <v>250</v>
      </c>
    </row>
    <row r="838" spans="1:13" x14ac:dyDescent="0.3">
      <c r="A838" t="s">
        <v>933</v>
      </c>
      <c r="B838" s="4">
        <v>45083</v>
      </c>
      <c r="C838">
        <v>2023</v>
      </c>
      <c r="D838">
        <v>6</v>
      </c>
      <c r="E838" t="s">
        <v>16</v>
      </c>
      <c r="F838" t="s">
        <v>458</v>
      </c>
      <c r="G838" t="s">
        <v>119</v>
      </c>
      <c r="H838" t="s">
        <v>27</v>
      </c>
      <c r="I838" t="s">
        <v>738</v>
      </c>
      <c r="J838">
        <v>62</v>
      </c>
      <c r="K838" t="b">
        <f>TRUE()</f>
        <v>1</v>
      </c>
      <c r="L838" t="s">
        <v>769</v>
      </c>
      <c r="M838" t="s">
        <v>250</v>
      </c>
    </row>
    <row r="839" spans="1:13" x14ac:dyDescent="0.3">
      <c r="A839" t="s">
        <v>934</v>
      </c>
      <c r="B839" s="4">
        <v>45087</v>
      </c>
      <c r="C839">
        <v>2023</v>
      </c>
      <c r="D839">
        <v>6</v>
      </c>
      <c r="E839" t="s">
        <v>16</v>
      </c>
      <c r="F839" t="s">
        <v>235</v>
      </c>
      <c r="G839" t="s">
        <v>18</v>
      </c>
      <c r="H839" t="s">
        <v>19</v>
      </c>
      <c r="I839" t="s">
        <v>45</v>
      </c>
      <c r="J839">
        <v>50</v>
      </c>
      <c r="K839" t="b">
        <f>FALSE()</f>
        <v>0</v>
      </c>
      <c r="L839" t="s">
        <v>21</v>
      </c>
      <c r="M839" t="s">
        <v>250</v>
      </c>
    </row>
    <row r="840" spans="1:13" x14ac:dyDescent="0.3">
      <c r="A840" t="s">
        <v>935</v>
      </c>
      <c r="B840" s="4">
        <v>45112</v>
      </c>
      <c r="C840">
        <v>2023</v>
      </c>
      <c r="D840">
        <v>7</v>
      </c>
      <c r="E840" t="s">
        <v>16</v>
      </c>
      <c r="F840" t="s">
        <v>458</v>
      </c>
      <c r="G840" t="s">
        <v>119</v>
      </c>
      <c r="H840" t="s">
        <v>27</v>
      </c>
      <c r="I840" t="s">
        <v>738</v>
      </c>
      <c r="J840">
        <v>62</v>
      </c>
      <c r="K840" t="b">
        <f>TRUE()</f>
        <v>1</v>
      </c>
      <c r="L840" t="s">
        <v>29</v>
      </c>
      <c r="M840" t="s">
        <v>250</v>
      </c>
    </row>
    <row r="841" spans="1:13" x14ac:dyDescent="0.3">
      <c r="A841" t="s">
        <v>936</v>
      </c>
      <c r="B841" s="4">
        <v>45114</v>
      </c>
      <c r="C841">
        <v>2023</v>
      </c>
      <c r="D841">
        <v>7</v>
      </c>
      <c r="E841" t="s">
        <v>16</v>
      </c>
      <c r="F841" t="s">
        <v>458</v>
      </c>
      <c r="G841" t="s">
        <v>119</v>
      </c>
      <c r="H841" t="s">
        <v>27</v>
      </c>
      <c r="I841" t="s">
        <v>738</v>
      </c>
      <c r="J841">
        <v>62</v>
      </c>
      <c r="K841" t="b">
        <f>TRUE()</f>
        <v>1</v>
      </c>
      <c r="L841" t="s">
        <v>769</v>
      </c>
      <c r="M841" t="s">
        <v>250</v>
      </c>
    </row>
    <row r="842" spans="1:13" x14ac:dyDescent="0.3">
      <c r="A842" t="s">
        <v>937</v>
      </c>
      <c r="B842" s="4">
        <v>45121</v>
      </c>
      <c r="C842">
        <v>2023</v>
      </c>
      <c r="D842">
        <v>7</v>
      </c>
      <c r="E842" t="s">
        <v>16</v>
      </c>
      <c r="F842" t="s">
        <v>130</v>
      </c>
      <c r="G842" t="s">
        <v>18</v>
      </c>
      <c r="H842" t="s">
        <v>131</v>
      </c>
      <c r="I842" t="s">
        <v>938</v>
      </c>
      <c r="J842">
        <v>45</v>
      </c>
      <c r="K842" t="b">
        <f>FALSE()</f>
        <v>0</v>
      </c>
      <c r="L842" t="s">
        <v>249</v>
      </c>
      <c r="M842" t="s">
        <v>250</v>
      </c>
    </row>
    <row r="843" spans="1:13" x14ac:dyDescent="0.3">
      <c r="A843" t="s">
        <v>939</v>
      </c>
      <c r="B843" s="4">
        <v>45122</v>
      </c>
      <c r="C843">
        <v>2023</v>
      </c>
      <c r="D843">
        <v>7</v>
      </c>
      <c r="E843" t="s">
        <v>16</v>
      </c>
      <c r="F843" t="s">
        <v>118</v>
      </c>
      <c r="G843" t="s">
        <v>119</v>
      </c>
      <c r="H843" t="s">
        <v>120</v>
      </c>
      <c r="I843" t="s">
        <v>374</v>
      </c>
      <c r="J843">
        <v>178</v>
      </c>
      <c r="K843" t="b">
        <f>FALSE()</f>
        <v>0</v>
      </c>
      <c r="L843" t="s">
        <v>122</v>
      </c>
      <c r="M843" t="s">
        <v>22</v>
      </c>
    </row>
    <row r="844" spans="1:13" x14ac:dyDescent="0.3">
      <c r="A844" t="s">
        <v>940</v>
      </c>
      <c r="B844" s="4">
        <v>45146</v>
      </c>
      <c r="C844">
        <v>2023</v>
      </c>
      <c r="D844">
        <v>8</v>
      </c>
      <c r="E844" t="s">
        <v>16</v>
      </c>
      <c r="F844" t="s">
        <v>458</v>
      </c>
      <c r="G844" t="s">
        <v>119</v>
      </c>
      <c r="H844" t="s">
        <v>27</v>
      </c>
      <c r="I844" t="s">
        <v>738</v>
      </c>
      <c r="J844">
        <v>62</v>
      </c>
      <c r="K844" t="b">
        <f>TRUE()</f>
        <v>1</v>
      </c>
      <c r="L844" t="s">
        <v>769</v>
      </c>
      <c r="M844" t="s">
        <v>250</v>
      </c>
    </row>
    <row r="845" spans="1:13" x14ac:dyDescent="0.3">
      <c r="A845" t="s">
        <v>941</v>
      </c>
      <c r="B845" s="4">
        <v>45150</v>
      </c>
      <c r="C845">
        <v>2023</v>
      </c>
      <c r="D845">
        <v>8</v>
      </c>
      <c r="E845" t="s">
        <v>16</v>
      </c>
      <c r="F845" t="s">
        <v>58</v>
      </c>
      <c r="G845" t="s">
        <v>18</v>
      </c>
      <c r="H845" t="s">
        <v>59</v>
      </c>
      <c r="I845" t="s">
        <v>687</v>
      </c>
      <c r="J845">
        <v>150</v>
      </c>
      <c r="K845" t="b">
        <f>FALSE()</f>
        <v>0</v>
      </c>
      <c r="L845" t="s">
        <v>343</v>
      </c>
      <c r="M845" t="s">
        <v>250</v>
      </c>
    </row>
    <row r="846" spans="1:13" x14ac:dyDescent="0.3">
      <c r="A846" t="s">
        <v>942</v>
      </c>
      <c r="B846" s="4">
        <v>45153</v>
      </c>
      <c r="C846">
        <v>2023</v>
      </c>
      <c r="D846">
        <v>8</v>
      </c>
      <c r="E846" t="s">
        <v>16</v>
      </c>
      <c r="F846" t="s">
        <v>235</v>
      </c>
      <c r="G846" t="s">
        <v>18</v>
      </c>
      <c r="H846" t="s">
        <v>19</v>
      </c>
      <c r="I846" t="s">
        <v>45</v>
      </c>
      <c r="J846">
        <v>50</v>
      </c>
      <c r="K846" t="b">
        <f>FALSE()</f>
        <v>0</v>
      </c>
      <c r="L846" t="s">
        <v>21</v>
      </c>
      <c r="M846" t="s">
        <v>250</v>
      </c>
    </row>
    <row r="847" spans="1:13" x14ac:dyDescent="0.3">
      <c r="A847" t="s">
        <v>943</v>
      </c>
      <c r="B847" s="4">
        <v>45158</v>
      </c>
      <c r="C847">
        <v>2023</v>
      </c>
      <c r="D847">
        <v>8</v>
      </c>
      <c r="E847" t="s">
        <v>16</v>
      </c>
      <c r="F847" t="s">
        <v>130</v>
      </c>
      <c r="G847" t="s">
        <v>18</v>
      </c>
      <c r="H847" t="s">
        <v>131</v>
      </c>
      <c r="I847" t="s">
        <v>248</v>
      </c>
      <c r="J847">
        <v>28</v>
      </c>
      <c r="K847" t="b">
        <f>FALSE()</f>
        <v>0</v>
      </c>
      <c r="L847" t="s">
        <v>249</v>
      </c>
      <c r="M847" t="s">
        <v>250</v>
      </c>
    </row>
    <row r="848" spans="1:13" x14ac:dyDescent="0.3">
      <c r="A848" t="s">
        <v>944</v>
      </c>
      <c r="B848" s="4">
        <v>45178</v>
      </c>
      <c r="C848">
        <v>2023</v>
      </c>
      <c r="D848">
        <v>9</v>
      </c>
      <c r="E848" t="s">
        <v>16</v>
      </c>
      <c r="F848" t="s">
        <v>458</v>
      </c>
      <c r="G848" t="s">
        <v>119</v>
      </c>
      <c r="H848" t="s">
        <v>27</v>
      </c>
      <c r="I848" t="s">
        <v>738</v>
      </c>
      <c r="J848">
        <v>62</v>
      </c>
      <c r="K848" t="b">
        <f>TRUE()</f>
        <v>1</v>
      </c>
      <c r="L848" t="s">
        <v>769</v>
      </c>
      <c r="M848" t="s">
        <v>250</v>
      </c>
    </row>
    <row r="849" spans="1:13" x14ac:dyDescent="0.3">
      <c r="A849" t="s">
        <v>945</v>
      </c>
      <c r="B849" s="4">
        <v>45184</v>
      </c>
      <c r="C849">
        <v>2023</v>
      </c>
      <c r="D849">
        <v>9</v>
      </c>
      <c r="E849" t="s">
        <v>16</v>
      </c>
      <c r="F849" t="s">
        <v>41</v>
      </c>
      <c r="G849" t="s">
        <v>18</v>
      </c>
      <c r="H849" t="s">
        <v>27</v>
      </c>
      <c r="I849" t="s">
        <v>533</v>
      </c>
      <c r="J849">
        <v>110</v>
      </c>
      <c r="K849" t="b">
        <f>FALSE()</f>
        <v>0</v>
      </c>
      <c r="L849" t="s">
        <v>29</v>
      </c>
      <c r="M849" t="s">
        <v>250</v>
      </c>
    </row>
    <row r="850" spans="1:13" x14ac:dyDescent="0.3">
      <c r="A850" t="s">
        <v>946</v>
      </c>
      <c r="B850" s="4">
        <v>45204</v>
      </c>
      <c r="C850">
        <v>2023</v>
      </c>
      <c r="D850">
        <v>10</v>
      </c>
      <c r="E850" t="s">
        <v>16</v>
      </c>
      <c r="F850" t="s">
        <v>458</v>
      </c>
      <c r="G850" t="s">
        <v>119</v>
      </c>
      <c r="H850" t="s">
        <v>27</v>
      </c>
      <c r="I850" t="s">
        <v>738</v>
      </c>
      <c r="J850">
        <v>62</v>
      </c>
      <c r="K850" t="b">
        <f>TRUE()</f>
        <v>1</v>
      </c>
      <c r="L850" t="s">
        <v>29</v>
      </c>
      <c r="M850" t="s">
        <v>250</v>
      </c>
    </row>
    <row r="851" spans="1:13" x14ac:dyDescent="0.3">
      <c r="A851" t="s">
        <v>947</v>
      </c>
      <c r="B851" s="4">
        <v>45209</v>
      </c>
      <c r="C851">
        <v>2023</v>
      </c>
      <c r="D851">
        <v>10</v>
      </c>
      <c r="E851" t="s">
        <v>16</v>
      </c>
      <c r="F851" t="s">
        <v>235</v>
      </c>
      <c r="G851" t="s">
        <v>18</v>
      </c>
      <c r="H851" t="s">
        <v>19</v>
      </c>
      <c r="I851" t="s">
        <v>45</v>
      </c>
      <c r="J851">
        <v>50</v>
      </c>
      <c r="K851" t="b">
        <f>FALSE()</f>
        <v>0</v>
      </c>
      <c r="L851" t="s">
        <v>21</v>
      </c>
      <c r="M851" t="s">
        <v>250</v>
      </c>
    </row>
    <row r="852" spans="1:13" x14ac:dyDescent="0.3">
      <c r="A852" t="s">
        <v>948</v>
      </c>
      <c r="B852" s="4">
        <v>45209</v>
      </c>
      <c r="C852">
        <v>2023</v>
      </c>
      <c r="D852">
        <v>10</v>
      </c>
      <c r="E852" t="s">
        <v>16</v>
      </c>
      <c r="F852" t="s">
        <v>458</v>
      </c>
      <c r="G852" t="s">
        <v>119</v>
      </c>
      <c r="H852" t="s">
        <v>27</v>
      </c>
      <c r="I852" t="s">
        <v>738</v>
      </c>
      <c r="J852">
        <v>62</v>
      </c>
      <c r="K852" t="b">
        <f>TRUE()</f>
        <v>1</v>
      </c>
      <c r="L852" t="s">
        <v>769</v>
      </c>
      <c r="M852" t="s">
        <v>250</v>
      </c>
    </row>
    <row r="853" spans="1:13" x14ac:dyDescent="0.3">
      <c r="A853" t="s">
        <v>949</v>
      </c>
      <c r="B853" s="4">
        <v>45242</v>
      </c>
      <c r="C853">
        <v>2023</v>
      </c>
      <c r="D853">
        <v>11</v>
      </c>
      <c r="E853" t="s">
        <v>16</v>
      </c>
      <c r="F853" t="s">
        <v>58</v>
      </c>
      <c r="G853" t="s">
        <v>18</v>
      </c>
      <c r="H853" t="s">
        <v>59</v>
      </c>
      <c r="I853" t="s">
        <v>687</v>
      </c>
      <c r="J853">
        <v>150</v>
      </c>
      <c r="K853" t="b">
        <f>FALSE()</f>
        <v>0</v>
      </c>
      <c r="L853" t="s">
        <v>343</v>
      </c>
      <c r="M853" t="s">
        <v>250</v>
      </c>
    </row>
    <row r="854" spans="1:13" x14ac:dyDescent="0.3">
      <c r="A854" t="s">
        <v>950</v>
      </c>
      <c r="B854" s="4">
        <v>45245</v>
      </c>
      <c r="C854">
        <v>2023</v>
      </c>
      <c r="D854">
        <v>11</v>
      </c>
      <c r="E854" t="s">
        <v>16</v>
      </c>
      <c r="F854" t="s">
        <v>235</v>
      </c>
      <c r="G854" t="s">
        <v>18</v>
      </c>
      <c r="H854" t="s">
        <v>19</v>
      </c>
      <c r="I854" t="s">
        <v>45</v>
      </c>
      <c r="J854">
        <v>50</v>
      </c>
      <c r="K854" t="b">
        <f>FALSE()</f>
        <v>0</v>
      </c>
      <c r="L854" t="s">
        <v>21</v>
      </c>
      <c r="M854" t="s">
        <v>250</v>
      </c>
    </row>
    <row r="855" spans="1:13" x14ac:dyDescent="0.3">
      <c r="A855" t="s">
        <v>951</v>
      </c>
      <c r="B855" s="4">
        <v>45272</v>
      </c>
      <c r="C855">
        <v>2023</v>
      </c>
      <c r="D855">
        <v>12</v>
      </c>
      <c r="E855" t="s">
        <v>16</v>
      </c>
      <c r="F855" t="s">
        <v>58</v>
      </c>
      <c r="G855" t="s">
        <v>18</v>
      </c>
      <c r="H855" t="s">
        <v>59</v>
      </c>
      <c r="I855" t="s">
        <v>687</v>
      </c>
      <c r="J855">
        <v>150</v>
      </c>
      <c r="K855" t="b">
        <f>FALSE()</f>
        <v>0</v>
      </c>
      <c r="L855" t="s">
        <v>343</v>
      </c>
      <c r="M855" t="s">
        <v>250</v>
      </c>
    </row>
    <row r="856" spans="1:13" x14ac:dyDescent="0.3">
      <c r="A856" t="s">
        <v>952</v>
      </c>
      <c r="B856" s="4">
        <v>45272</v>
      </c>
      <c r="C856">
        <v>2023</v>
      </c>
      <c r="D856">
        <v>12</v>
      </c>
      <c r="E856" t="s">
        <v>16</v>
      </c>
      <c r="F856" t="s">
        <v>58</v>
      </c>
      <c r="G856" t="s">
        <v>18</v>
      </c>
      <c r="H856" t="s">
        <v>59</v>
      </c>
      <c r="I856" t="s">
        <v>687</v>
      </c>
      <c r="J856">
        <v>150</v>
      </c>
      <c r="K856" t="b">
        <f>FALSE()</f>
        <v>0</v>
      </c>
      <c r="L856" t="s">
        <v>343</v>
      </c>
      <c r="M856" t="s">
        <v>250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zoomScaleNormal="100" workbookViewId="0"/>
  </sheetViews>
  <sheetFormatPr baseColWidth="10" defaultColWidth="8.6640625" defaultRowHeight="14.4" x14ac:dyDescent="0.3"/>
  <sheetData>
    <row r="1" spans="1:7" ht="17.399999999999999" x14ac:dyDescent="0.3">
      <c r="A1" s="1" t="s">
        <v>953</v>
      </c>
    </row>
    <row r="3" spans="1:7" x14ac:dyDescent="0.3">
      <c r="A3" s="5" t="s">
        <v>954</v>
      </c>
      <c r="B3" s="5" t="s">
        <v>955</v>
      </c>
      <c r="C3" s="5" t="s">
        <v>956</v>
      </c>
      <c r="D3" s="5" t="s">
        <v>957</v>
      </c>
      <c r="E3" s="5" t="s">
        <v>958</v>
      </c>
      <c r="F3" s="5" t="s">
        <v>959</v>
      </c>
      <c r="G3" s="5" t="s">
        <v>960</v>
      </c>
    </row>
    <row r="4" spans="1:7" x14ac:dyDescent="0.3">
      <c r="A4">
        <v>1957</v>
      </c>
      <c r="B4">
        <v>3</v>
      </c>
      <c r="C4">
        <v>2</v>
      </c>
      <c r="D4">
        <f t="shared" ref="D4:D35" si="0">B4-C4</f>
        <v>1</v>
      </c>
      <c r="E4" s="6">
        <f t="shared" ref="E4:E35" si="1">IF(B4&gt;0,C4/B4*100,0)</f>
        <v>66.666666666666657</v>
      </c>
      <c r="F4" s="7">
        <v>0</v>
      </c>
      <c r="G4" s="7">
        <v>0</v>
      </c>
    </row>
    <row r="5" spans="1:7" x14ac:dyDescent="0.3">
      <c r="A5">
        <v>1958</v>
      </c>
      <c r="B5">
        <v>2</v>
      </c>
      <c r="C5">
        <v>2</v>
      </c>
      <c r="D5">
        <f t="shared" si="0"/>
        <v>0</v>
      </c>
      <c r="E5" s="6">
        <f t="shared" si="1"/>
        <v>100</v>
      </c>
      <c r="F5" s="7">
        <v>0</v>
      </c>
      <c r="G5" s="7">
        <v>0</v>
      </c>
    </row>
    <row r="6" spans="1:7" x14ac:dyDescent="0.3">
      <c r="A6">
        <v>1959</v>
      </c>
      <c r="B6">
        <v>3</v>
      </c>
      <c r="C6">
        <v>3</v>
      </c>
      <c r="D6">
        <f t="shared" si="0"/>
        <v>0</v>
      </c>
      <c r="E6" s="6">
        <f t="shared" si="1"/>
        <v>100</v>
      </c>
      <c r="F6" s="7">
        <v>0</v>
      </c>
      <c r="G6" s="7">
        <v>0</v>
      </c>
    </row>
    <row r="7" spans="1:7" x14ac:dyDescent="0.3">
      <c r="A7">
        <v>1961</v>
      </c>
      <c r="B7">
        <v>2</v>
      </c>
      <c r="C7">
        <v>2</v>
      </c>
      <c r="D7">
        <f t="shared" si="0"/>
        <v>0</v>
      </c>
      <c r="E7" s="6">
        <f t="shared" si="1"/>
        <v>100</v>
      </c>
      <c r="F7" s="7">
        <v>0</v>
      </c>
      <c r="G7" s="7">
        <v>0</v>
      </c>
    </row>
    <row r="8" spans="1:7" x14ac:dyDescent="0.3">
      <c r="A8">
        <v>1963</v>
      </c>
      <c r="B8">
        <v>1</v>
      </c>
      <c r="C8">
        <v>1</v>
      </c>
      <c r="D8">
        <f t="shared" si="0"/>
        <v>0</v>
      </c>
      <c r="E8" s="6">
        <f t="shared" si="1"/>
        <v>100</v>
      </c>
      <c r="F8" s="7">
        <v>0</v>
      </c>
      <c r="G8" s="7">
        <v>0</v>
      </c>
    </row>
    <row r="9" spans="1:7" x14ac:dyDescent="0.3">
      <c r="A9">
        <v>1967</v>
      </c>
      <c r="B9">
        <v>2</v>
      </c>
      <c r="C9">
        <v>1</v>
      </c>
      <c r="D9">
        <f t="shared" si="0"/>
        <v>1</v>
      </c>
      <c r="E9" s="6">
        <f t="shared" si="1"/>
        <v>50</v>
      </c>
      <c r="F9" s="7">
        <v>100</v>
      </c>
      <c r="G9" s="7">
        <v>50</v>
      </c>
    </row>
    <row r="10" spans="1:7" x14ac:dyDescent="0.3">
      <c r="A10">
        <v>1968</v>
      </c>
      <c r="B10">
        <v>4</v>
      </c>
      <c r="C10">
        <v>4</v>
      </c>
      <c r="D10">
        <f t="shared" si="0"/>
        <v>0</v>
      </c>
      <c r="E10" s="6">
        <f t="shared" si="1"/>
        <v>100</v>
      </c>
      <c r="F10" s="7">
        <v>1775</v>
      </c>
      <c r="G10" s="7">
        <v>443.75</v>
      </c>
    </row>
    <row r="11" spans="1:7" x14ac:dyDescent="0.3">
      <c r="A11">
        <v>1969</v>
      </c>
      <c r="B11">
        <v>3</v>
      </c>
      <c r="C11">
        <v>3</v>
      </c>
      <c r="D11">
        <f t="shared" si="0"/>
        <v>0</v>
      </c>
      <c r="E11" s="6">
        <f t="shared" si="1"/>
        <v>100</v>
      </c>
      <c r="F11" s="7">
        <v>1330</v>
      </c>
      <c r="G11" s="7">
        <v>443.33333333333297</v>
      </c>
    </row>
    <row r="12" spans="1:7" x14ac:dyDescent="0.3">
      <c r="A12">
        <v>1970</v>
      </c>
      <c r="B12">
        <v>5</v>
      </c>
      <c r="C12">
        <v>4</v>
      </c>
      <c r="D12">
        <f t="shared" si="0"/>
        <v>1</v>
      </c>
      <c r="E12" s="6">
        <f t="shared" si="1"/>
        <v>80</v>
      </c>
      <c r="F12" s="7">
        <v>1400</v>
      </c>
      <c r="G12" s="7">
        <v>280</v>
      </c>
    </row>
    <row r="13" spans="1:7" x14ac:dyDescent="0.3">
      <c r="A13">
        <v>1971</v>
      </c>
      <c r="B13">
        <v>3</v>
      </c>
      <c r="C13">
        <v>2</v>
      </c>
      <c r="D13">
        <f t="shared" si="0"/>
        <v>1</v>
      </c>
      <c r="E13" s="6">
        <f t="shared" si="1"/>
        <v>66.666666666666657</v>
      </c>
      <c r="F13" s="7">
        <v>170</v>
      </c>
      <c r="G13" s="7">
        <v>56.6666666666667</v>
      </c>
    </row>
    <row r="14" spans="1:7" x14ac:dyDescent="0.3">
      <c r="A14">
        <v>1972</v>
      </c>
      <c r="B14">
        <v>4</v>
      </c>
      <c r="C14">
        <v>4</v>
      </c>
      <c r="D14">
        <f t="shared" si="0"/>
        <v>0</v>
      </c>
      <c r="E14" s="6">
        <f t="shared" si="1"/>
        <v>100</v>
      </c>
      <c r="F14" s="7">
        <v>1400</v>
      </c>
      <c r="G14" s="7">
        <v>350</v>
      </c>
    </row>
    <row r="15" spans="1:7" x14ac:dyDescent="0.3">
      <c r="A15">
        <v>1973</v>
      </c>
      <c r="B15">
        <v>4</v>
      </c>
      <c r="C15">
        <v>4</v>
      </c>
      <c r="D15">
        <f t="shared" si="0"/>
        <v>0</v>
      </c>
      <c r="E15" s="6">
        <f t="shared" si="1"/>
        <v>100</v>
      </c>
      <c r="F15" s="7">
        <v>1400</v>
      </c>
      <c r="G15" s="7">
        <v>350</v>
      </c>
    </row>
    <row r="16" spans="1:7" x14ac:dyDescent="0.3">
      <c r="A16">
        <v>1974</v>
      </c>
      <c r="B16">
        <v>3</v>
      </c>
      <c r="C16">
        <v>3</v>
      </c>
      <c r="D16">
        <f t="shared" si="0"/>
        <v>0</v>
      </c>
      <c r="E16" s="6">
        <f t="shared" si="1"/>
        <v>100</v>
      </c>
      <c r="F16" s="7">
        <v>170</v>
      </c>
      <c r="G16" s="7">
        <v>56.6666666666667</v>
      </c>
    </row>
    <row r="17" spans="1:7" x14ac:dyDescent="0.3">
      <c r="A17">
        <v>1975</v>
      </c>
      <c r="B17">
        <v>5</v>
      </c>
      <c r="C17">
        <v>5</v>
      </c>
      <c r="D17">
        <f t="shared" si="0"/>
        <v>0</v>
      </c>
      <c r="E17" s="6">
        <f t="shared" si="1"/>
        <v>100</v>
      </c>
      <c r="F17" s="7">
        <v>270</v>
      </c>
      <c r="G17" s="7">
        <v>54</v>
      </c>
    </row>
    <row r="18" spans="1:7" x14ac:dyDescent="0.3">
      <c r="A18">
        <v>1976</v>
      </c>
      <c r="B18">
        <v>5</v>
      </c>
      <c r="C18">
        <v>5</v>
      </c>
      <c r="D18">
        <f t="shared" si="0"/>
        <v>0</v>
      </c>
      <c r="E18" s="6">
        <f t="shared" si="1"/>
        <v>100</v>
      </c>
      <c r="F18" s="7">
        <v>270</v>
      </c>
      <c r="G18" s="7">
        <v>54</v>
      </c>
    </row>
    <row r="19" spans="1:7" x14ac:dyDescent="0.3">
      <c r="A19">
        <v>1977</v>
      </c>
      <c r="B19">
        <v>7</v>
      </c>
      <c r="C19">
        <v>7</v>
      </c>
      <c r="D19">
        <f t="shared" si="0"/>
        <v>0</v>
      </c>
      <c r="E19" s="6">
        <f t="shared" si="1"/>
        <v>100</v>
      </c>
      <c r="F19" s="7">
        <v>692</v>
      </c>
      <c r="G19" s="7">
        <v>98.857142857142904</v>
      </c>
    </row>
    <row r="20" spans="1:7" x14ac:dyDescent="0.3">
      <c r="A20">
        <v>1978</v>
      </c>
      <c r="B20">
        <v>8</v>
      </c>
      <c r="C20">
        <v>8</v>
      </c>
      <c r="D20">
        <f t="shared" si="0"/>
        <v>0</v>
      </c>
      <c r="E20" s="6">
        <f t="shared" si="1"/>
        <v>100</v>
      </c>
      <c r="F20" s="7">
        <v>420</v>
      </c>
      <c r="G20" s="7">
        <v>52.5</v>
      </c>
    </row>
    <row r="21" spans="1:7" x14ac:dyDescent="0.3">
      <c r="A21">
        <v>1979</v>
      </c>
      <c r="B21">
        <v>9</v>
      </c>
      <c r="C21">
        <v>9</v>
      </c>
      <c r="D21">
        <f t="shared" si="0"/>
        <v>0</v>
      </c>
      <c r="E21" s="6">
        <f t="shared" si="1"/>
        <v>100</v>
      </c>
      <c r="F21" s="7">
        <v>450</v>
      </c>
      <c r="G21" s="7">
        <v>50</v>
      </c>
    </row>
    <row r="22" spans="1:7" x14ac:dyDescent="0.3">
      <c r="A22">
        <v>1980</v>
      </c>
      <c r="B22">
        <v>9</v>
      </c>
      <c r="C22">
        <v>9</v>
      </c>
      <c r="D22">
        <f t="shared" si="0"/>
        <v>0</v>
      </c>
      <c r="E22" s="6">
        <f t="shared" si="1"/>
        <v>100</v>
      </c>
      <c r="F22" s="7">
        <v>420</v>
      </c>
      <c r="G22" s="7">
        <v>46.6666666666667</v>
      </c>
    </row>
    <row r="23" spans="1:7" x14ac:dyDescent="0.3">
      <c r="A23">
        <v>1981</v>
      </c>
      <c r="B23">
        <v>9</v>
      </c>
      <c r="C23">
        <v>9</v>
      </c>
      <c r="D23">
        <f t="shared" si="0"/>
        <v>0</v>
      </c>
      <c r="E23" s="6">
        <f t="shared" si="1"/>
        <v>100</v>
      </c>
      <c r="F23" s="7">
        <v>870</v>
      </c>
      <c r="G23" s="7">
        <v>96.6666666666667</v>
      </c>
    </row>
    <row r="24" spans="1:7" x14ac:dyDescent="0.3">
      <c r="A24">
        <v>1982</v>
      </c>
      <c r="B24">
        <v>8</v>
      </c>
      <c r="C24">
        <v>8</v>
      </c>
      <c r="D24">
        <f t="shared" si="0"/>
        <v>0</v>
      </c>
      <c r="E24" s="6">
        <f t="shared" si="1"/>
        <v>100</v>
      </c>
      <c r="F24" s="7">
        <v>420</v>
      </c>
      <c r="G24" s="7">
        <v>52.5</v>
      </c>
    </row>
    <row r="25" spans="1:7" x14ac:dyDescent="0.3">
      <c r="A25">
        <v>1983</v>
      </c>
      <c r="B25">
        <v>9</v>
      </c>
      <c r="C25">
        <v>9</v>
      </c>
      <c r="D25">
        <f t="shared" si="0"/>
        <v>0</v>
      </c>
      <c r="E25" s="6">
        <f t="shared" si="1"/>
        <v>100</v>
      </c>
      <c r="F25" s="7">
        <v>870</v>
      </c>
      <c r="G25" s="7">
        <v>96.6666666666667</v>
      </c>
    </row>
    <row r="26" spans="1:7" x14ac:dyDescent="0.3">
      <c r="A26">
        <v>1984</v>
      </c>
      <c r="B26">
        <v>8</v>
      </c>
      <c r="C26">
        <v>8</v>
      </c>
      <c r="D26">
        <f t="shared" si="0"/>
        <v>0</v>
      </c>
      <c r="E26" s="6">
        <f t="shared" si="1"/>
        <v>100</v>
      </c>
      <c r="F26" s="7">
        <v>420</v>
      </c>
      <c r="G26" s="7">
        <v>52.5</v>
      </c>
    </row>
    <row r="27" spans="1:7" x14ac:dyDescent="0.3">
      <c r="A27">
        <v>1985</v>
      </c>
      <c r="B27">
        <v>8</v>
      </c>
      <c r="C27">
        <v>8</v>
      </c>
      <c r="D27">
        <f t="shared" si="0"/>
        <v>0</v>
      </c>
      <c r="E27" s="6">
        <f t="shared" si="1"/>
        <v>100</v>
      </c>
      <c r="F27" s="7">
        <v>420</v>
      </c>
      <c r="G27" s="7">
        <v>52.5</v>
      </c>
    </row>
    <row r="28" spans="1:7" x14ac:dyDescent="0.3">
      <c r="A28">
        <v>1986</v>
      </c>
      <c r="B28">
        <v>9</v>
      </c>
      <c r="C28">
        <v>8</v>
      </c>
      <c r="D28">
        <f t="shared" si="0"/>
        <v>1</v>
      </c>
      <c r="E28" s="6">
        <f t="shared" si="1"/>
        <v>88.888888888888886</v>
      </c>
      <c r="F28" s="7">
        <v>870</v>
      </c>
      <c r="G28" s="7">
        <v>96.6666666666667</v>
      </c>
    </row>
    <row r="29" spans="1:7" x14ac:dyDescent="0.3">
      <c r="A29">
        <v>1987</v>
      </c>
      <c r="B29">
        <v>8</v>
      </c>
      <c r="C29">
        <v>8</v>
      </c>
      <c r="D29">
        <f t="shared" si="0"/>
        <v>0</v>
      </c>
      <c r="E29" s="6">
        <f t="shared" si="1"/>
        <v>100</v>
      </c>
      <c r="F29" s="7">
        <v>420</v>
      </c>
      <c r="G29" s="7">
        <v>52.5</v>
      </c>
    </row>
    <row r="30" spans="1:7" x14ac:dyDescent="0.3">
      <c r="A30">
        <v>1988</v>
      </c>
      <c r="B30">
        <v>8</v>
      </c>
      <c r="C30">
        <v>8</v>
      </c>
      <c r="D30">
        <f t="shared" si="0"/>
        <v>0</v>
      </c>
      <c r="E30" s="6">
        <f t="shared" si="1"/>
        <v>100</v>
      </c>
      <c r="F30" s="7">
        <v>420</v>
      </c>
      <c r="G30" s="7">
        <v>52.5</v>
      </c>
    </row>
    <row r="31" spans="1:7" x14ac:dyDescent="0.3">
      <c r="A31">
        <v>1989</v>
      </c>
      <c r="B31">
        <v>8</v>
      </c>
      <c r="C31">
        <v>8</v>
      </c>
      <c r="D31">
        <f t="shared" si="0"/>
        <v>0</v>
      </c>
      <c r="E31" s="6">
        <f t="shared" si="1"/>
        <v>100</v>
      </c>
      <c r="F31" s="7">
        <v>420</v>
      </c>
      <c r="G31" s="7">
        <v>52.5</v>
      </c>
    </row>
    <row r="32" spans="1:7" x14ac:dyDescent="0.3">
      <c r="A32">
        <v>1990</v>
      </c>
      <c r="B32">
        <v>12</v>
      </c>
      <c r="C32">
        <v>12</v>
      </c>
      <c r="D32">
        <f t="shared" si="0"/>
        <v>0</v>
      </c>
      <c r="E32" s="6">
        <f t="shared" si="1"/>
        <v>100</v>
      </c>
      <c r="F32" s="7">
        <v>1460</v>
      </c>
      <c r="G32" s="7">
        <v>121.666666666667</v>
      </c>
    </row>
    <row r="33" spans="1:7" x14ac:dyDescent="0.3">
      <c r="A33">
        <v>1991</v>
      </c>
      <c r="B33">
        <v>9</v>
      </c>
      <c r="C33">
        <v>9</v>
      </c>
      <c r="D33">
        <f t="shared" si="0"/>
        <v>0</v>
      </c>
      <c r="E33" s="6">
        <f t="shared" si="1"/>
        <v>100</v>
      </c>
      <c r="F33" s="7">
        <v>510</v>
      </c>
      <c r="G33" s="7">
        <v>56.6666666666667</v>
      </c>
    </row>
    <row r="34" spans="1:7" x14ac:dyDescent="0.3">
      <c r="A34">
        <v>1992</v>
      </c>
      <c r="B34">
        <v>9</v>
      </c>
      <c r="C34">
        <v>9</v>
      </c>
      <c r="D34">
        <f t="shared" si="0"/>
        <v>0</v>
      </c>
      <c r="E34" s="6">
        <f t="shared" si="1"/>
        <v>100</v>
      </c>
      <c r="F34" s="7">
        <v>510</v>
      </c>
      <c r="G34" s="7">
        <v>56.6666666666667</v>
      </c>
    </row>
    <row r="35" spans="1:7" x14ac:dyDescent="0.3">
      <c r="A35">
        <v>1993</v>
      </c>
      <c r="B35">
        <v>11</v>
      </c>
      <c r="C35">
        <v>10</v>
      </c>
      <c r="D35">
        <f t="shared" si="0"/>
        <v>1</v>
      </c>
      <c r="E35" s="6">
        <f t="shared" si="1"/>
        <v>90.909090909090907</v>
      </c>
      <c r="F35" s="7">
        <v>566</v>
      </c>
      <c r="G35" s="7">
        <v>51.454545454545503</v>
      </c>
    </row>
    <row r="36" spans="1:7" x14ac:dyDescent="0.3">
      <c r="A36">
        <v>1994</v>
      </c>
      <c r="B36">
        <v>11</v>
      </c>
      <c r="C36">
        <v>11</v>
      </c>
      <c r="D36">
        <f t="shared" ref="D36:D67" si="2">B36-C36</f>
        <v>0</v>
      </c>
      <c r="E36" s="6">
        <f t="shared" ref="E36:E65" si="3">IF(B36&gt;0,C36/B36*100,0)</f>
        <v>100</v>
      </c>
      <c r="F36" s="7">
        <v>566</v>
      </c>
      <c r="G36" s="7">
        <v>51.454545454545503</v>
      </c>
    </row>
    <row r="37" spans="1:7" x14ac:dyDescent="0.3">
      <c r="A37">
        <v>1995</v>
      </c>
      <c r="B37">
        <v>11</v>
      </c>
      <c r="C37">
        <v>11</v>
      </c>
      <c r="D37">
        <f t="shared" si="2"/>
        <v>0</v>
      </c>
      <c r="E37" s="6">
        <f t="shared" si="3"/>
        <v>100</v>
      </c>
      <c r="F37" s="7">
        <v>566</v>
      </c>
      <c r="G37" s="7">
        <v>51.454545454545503</v>
      </c>
    </row>
    <row r="38" spans="1:7" x14ac:dyDescent="0.3">
      <c r="A38">
        <v>1996</v>
      </c>
      <c r="B38">
        <v>16</v>
      </c>
      <c r="C38">
        <v>14</v>
      </c>
      <c r="D38">
        <f t="shared" si="2"/>
        <v>2</v>
      </c>
      <c r="E38" s="6">
        <f t="shared" si="3"/>
        <v>87.5</v>
      </c>
      <c r="F38" s="7">
        <v>1200</v>
      </c>
      <c r="G38" s="7">
        <v>75</v>
      </c>
    </row>
    <row r="39" spans="1:7" x14ac:dyDescent="0.3">
      <c r="A39">
        <v>1997</v>
      </c>
      <c r="B39">
        <v>13</v>
      </c>
      <c r="C39">
        <v>13</v>
      </c>
      <c r="D39">
        <f t="shared" si="2"/>
        <v>0</v>
      </c>
      <c r="E39" s="6">
        <f t="shared" si="3"/>
        <v>100</v>
      </c>
      <c r="F39" s="7">
        <v>922</v>
      </c>
      <c r="G39" s="7">
        <v>70.923076923076906</v>
      </c>
    </row>
    <row r="40" spans="1:7" x14ac:dyDescent="0.3">
      <c r="A40">
        <v>1998</v>
      </c>
      <c r="B40">
        <v>15</v>
      </c>
      <c r="C40">
        <v>15</v>
      </c>
      <c r="D40">
        <f t="shared" si="2"/>
        <v>0</v>
      </c>
      <c r="E40" s="6">
        <f t="shared" si="3"/>
        <v>100</v>
      </c>
      <c r="F40" s="7">
        <v>1437</v>
      </c>
      <c r="G40" s="7">
        <v>95.8</v>
      </c>
    </row>
    <row r="41" spans="1:7" x14ac:dyDescent="0.3">
      <c r="A41">
        <v>1999</v>
      </c>
      <c r="B41">
        <v>14</v>
      </c>
      <c r="C41">
        <v>14</v>
      </c>
      <c r="D41">
        <f t="shared" si="2"/>
        <v>0</v>
      </c>
      <c r="E41" s="6">
        <f t="shared" si="3"/>
        <v>100</v>
      </c>
      <c r="F41" s="7">
        <v>1372</v>
      </c>
      <c r="G41" s="7">
        <v>98</v>
      </c>
    </row>
    <row r="42" spans="1:7" x14ac:dyDescent="0.3">
      <c r="A42">
        <v>2000</v>
      </c>
      <c r="B42">
        <v>16</v>
      </c>
      <c r="C42">
        <v>16</v>
      </c>
      <c r="D42">
        <f t="shared" si="2"/>
        <v>0</v>
      </c>
      <c r="E42" s="6">
        <f t="shared" si="3"/>
        <v>100</v>
      </c>
      <c r="F42" s="7">
        <v>1328</v>
      </c>
      <c r="G42" s="7">
        <v>83</v>
      </c>
    </row>
    <row r="43" spans="1:7" x14ac:dyDescent="0.3">
      <c r="A43">
        <v>2001</v>
      </c>
      <c r="B43">
        <v>16</v>
      </c>
      <c r="C43">
        <v>16</v>
      </c>
      <c r="D43">
        <f t="shared" si="2"/>
        <v>0</v>
      </c>
      <c r="E43" s="6">
        <f t="shared" si="3"/>
        <v>100</v>
      </c>
      <c r="F43" s="7">
        <v>1328</v>
      </c>
      <c r="G43" s="7">
        <v>83</v>
      </c>
    </row>
    <row r="44" spans="1:7" x14ac:dyDescent="0.3">
      <c r="A44">
        <v>2002</v>
      </c>
      <c r="B44">
        <v>16</v>
      </c>
      <c r="C44">
        <v>15</v>
      </c>
      <c r="D44">
        <f t="shared" si="2"/>
        <v>1</v>
      </c>
      <c r="E44" s="6">
        <f t="shared" si="3"/>
        <v>93.75</v>
      </c>
      <c r="F44" s="7">
        <v>1328</v>
      </c>
      <c r="G44" s="7">
        <v>83</v>
      </c>
    </row>
    <row r="45" spans="1:7" x14ac:dyDescent="0.3">
      <c r="A45">
        <v>2003</v>
      </c>
      <c r="B45">
        <v>22</v>
      </c>
      <c r="C45">
        <v>21</v>
      </c>
      <c r="D45">
        <f t="shared" si="2"/>
        <v>1</v>
      </c>
      <c r="E45" s="6">
        <f t="shared" si="3"/>
        <v>95.454545454545453</v>
      </c>
      <c r="F45" s="7">
        <v>2073</v>
      </c>
      <c r="G45" s="7">
        <v>94.227272727272705</v>
      </c>
    </row>
    <row r="46" spans="1:7" x14ac:dyDescent="0.3">
      <c r="A46">
        <v>2004</v>
      </c>
      <c r="B46">
        <v>16</v>
      </c>
      <c r="C46">
        <v>16</v>
      </c>
      <c r="D46">
        <f t="shared" si="2"/>
        <v>0</v>
      </c>
      <c r="E46" s="6">
        <f t="shared" si="3"/>
        <v>100</v>
      </c>
      <c r="F46" s="7">
        <v>1328</v>
      </c>
      <c r="G46" s="7">
        <v>83</v>
      </c>
    </row>
    <row r="47" spans="1:7" x14ac:dyDescent="0.3">
      <c r="A47">
        <v>2005</v>
      </c>
      <c r="B47">
        <v>16</v>
      </c>
      <c r="C47">
        <v>16</v>
      </c>
      <c r="D47">
        <f t="shared" si="2"/>
        <v>0</v>
      </c>
      <c r="E47" s="6">
        <f t="shared" si="3"/>
        <v>100</v>
      </c>
      <c r="F47" s="7">
        <v>1328</v>
      </c>
      <c r="G47" s="7">
        <v>83</v>
      </c>
    </row>
    <row r="48" spans="1:7" x14ac:dyDescent="0.3">
      <c r="A48">
        <v>2006</v>
      </c>
      <c r="B48">
        <v>17</v>
      </c>
      <c r="C48">
        <v>16</v>
      </c>
      <c r="D48">
        <f t="shared" si="2"/>
        <v>1</v>
      </c>
      <c r="E48" s="6">
        <f t="shared" si="3"/>
        <v>94.117647058823522</v>
      </c>
      <c r="F48" s="7">
        <v>1334.7</v>
      </c>
      <c r="G48" s="7">
        <v>78.511764705882399</v>
      </c>
    </row>
    <row r="49" spans="1:7" x14ac:dyDescent="0.3">
      <c r="A49">
        <v>2007</v>
      </c>
      <c r="B49">
        <v>18</v>
      </c>
      <c r="C49">
        <v>18</v>
      </c>
      <c r="D49">
        <f t="shared" si="2"/>
        <v>0</v>
      </c>
      <c r="E49" s="6">
        <f t="shared" si="3"/>
        <v>100</v>
      </c>
      <c r="F49" s="7">
        <v>1448</v>
      </c>
      <c r="G49" s="7">
        <v>80.4444444444444</v>
      </c>
    </row>
    <row r="50" spans="1:7" x14ac:dyDescent="0.3">
      <c r="A50">
        <v>2008</v>
      </c>
      <c r="B50">
        <v>18</v>
      </c>
      <c r="C50">
        <v>18</v>
      </c>
      <c r="D50">
        <f t="shared" si="2"/>
        <v>0</v>
      </c>
      <c r="E50" s="6">
        <f t="shared" si="3"/>
        <v>100</v>
      </c>
      <c r="F50" s="7">
        <v>1362.7</v>
      </c>
      <c r="G50" s="7">
        <v>75.705555555555605</v>
      </c>
    </row>
    <row r="51" spans="1:7" x14ac:dyDescent="0.3">
      <c r="A51">
        <v>2009</v>
      </c>
      <c r="B51">
        <v>17</v>
      </c>
      <c r="C51">
        <v>17</v>
      </c>
      <c r="D51">
        <f t="shared" si="2"/>
        <v>0</v>
      </c>
      <c r="E51" s="6">
        <f t="shared" si="3"/>
        <v>100</v>
      </c>
      <c r="F51" s="7">
        <v>1378</v>
      </c>
      <c r="G51" s="7">
        <v>81.058823529411796</v>
      </c>
    </row>
    <row r="52" spans="1:7" x14ac:dyDescent="0.3">
      <c r="A52">
        <v>2010</v>
      </c>
      <c r="B52">
        <v>23</v>
      </c>
      <c r="C52">
        <v>23</v>
      </c>
      <c r="D52">
        <f t="shared" si="2"/>
        <v>0</v>
      </c>
      <c r="E52" s="6">
        <f t="shared" si="3"/>
        <v>100</v>
      </c>
      <c r="F52" s="7">
        <v>1870</v>
      </c>
      <c r="G52" s="7">
        <v>81.304347826086996</v>
      </c>
    </row>
    <row r="53" spans="1:7" x14ac:dyDescent="0.3">
      <c r="A53">
        <v>2011</v>
      </c>
      <c r="B53">
        <v>24</v>
      </c>
      <c r="C53">
        <v>24</v>
      </c>
      <c r="D53">
        <f t="shared" si="2"/>
        <v>0</v>
      </c>
      <c r="E53" s="6">
        <f t="shared" si="3"/>
        <v>100</v>
      </c>
      <c r="F53" s="7">
        <v>2368</v>
      </c>
      <c r="G53" s="7">
        <v>98.6666666666667</v>
      </c>
    </row>
    <row r="54" spans="1:7" x14ac:dyDescent="0.3">
      <c r="A54">
        <v>2012</v>
      </c>
      <c r="B54">
        <v>25</v>
      </c>
      <c r="C54">
        <v>25</v>
      </c>
      <c r="D54">
        <f t="shared" si="2"/>
        <v>0</v>
      </c>
      <c r="E54" s="6">
        <f t="shared" si="3"/>
        <v>100</v>
      </c>
      <c r="F54" s="7">
        <v>1994</v>
      </c>
      <c r="G54" s="7">
        <v>79.760000000000005</v>
      </c>
    </row>
    <row r="55" spans="1:7" x14ac:dyDescent="0.3">
      <c r="A55">
        <v>2013</v>
      </c>
      <c r="B55">
        <v>25</v>
      </c>
      <c r="C55">
        <v>25</v>
      </c>
      <c r="D55">
        <f t="shared" si="2"/>
        <v>0</v>
      </c>
      <c r="E55" s="6">
        <f t="shared" si="3"/>
        <v>100</v>
      </c>
      <c r="F55" s="7">
        <v>1960</v>
      </c>
      <c r="G55" s="7">
        <v>78.400000000000006</v>
      </c>
    </row>
    <row r="56" spans="1:7" x14ac:dyDescent="0.3">
      <c r="A56">
        <v>2014</v>
      </c>
      <c r="B56">
        <v>25</v>
      </c>
      <c r="C56">
        <v>25</v>
      </c>
      <c r="D56">
        <f t="shared" si="2"/>
        <v>0</v>
      </c>
      <c r="E56" s="6">
        <f t="shared" si="3"/>
        <v>100</v>
      </c>
      <c r="F56" s="7">
        <v>2022</v>
      </c>
      <c r="G56" s="7">
        <v>80.88</v>
      </c>
    </row>
    <row r="57" spans="1:7" x14ac:dyDescent="0.3">
      <c r="A57">
        <v>2015</v>
      </c>
      <c r="B57">
        <v>26</v>
      </c>
      <c r="C57">
        <v>24</v>
      </c>
      <c r="D57">
        <f t="shared" si="2"/>
        <v>2</v>
      </c>
      <c r="E57" s="6">
        <f t="shared" si="3"/>
        <v>92.307692307692307</v>
      </c>
      <c r="F57" s="7">
        <v>1994</v>
      </c>
      <c r="G57" s="7">
        <v>76.692307692307693</v>
      </c>
    </row>
    <row r="58" spans="1:7" x14ac:dyDescent="0.3">
      <c r="A58">
        <v>2016</v>
      </c>
      <c r="B58">
        <v>24</v>
      </c>
      <c r="C58">
        <v>24</v>
      </c>
      <c r="D58">
        <f t="shared" si="2"/>
        <v>0</v>
      </c>
      <c r="E58" s="6">
        <f t="shared" si="3"/>
        <v>100</v>
      </c>
      <c r="F58" s="7">
        <v>2412</v>
      </c>
      <c r="G58" s="7">
        <v>100.5</v>
      </c>
    </row>
    <row r="59" spans="1:7" x14ac:dyDescent="0.3">
      <c r="A59">
        <v>2017</v>
      </c>
      <c r="B59">
        <v>25</v>
      </c>
      <c r="C59">
        <v>24</v>
      </c>
      <c r="D59">
        <f t="shared" si="2"/>
        <v>1</v>
      </c>
      <c r="E59" s="6">
        <f t="shared" si="3"/>
        <v>96</v>
      </c>
      <c r="F59" s="7">
        <v>2419.5</v>
      </c>
      <c r="G59" s="7">
        <v>96.78</v>
      </c>
    </row>
    <row r="60" spans="1:7" x14ac:dyDescent="0.3">
      <c r="A60">
        <v>2018</v>
      </c>
      <c r="B60">
        <v>27</v>
      </c>
      <c r="C60">
        <v>27</v>
      </c>
      <c r="D60">
        <f t="shared" si="2"/>
        <v>0</v>
      </c>
      <c r="E60" s="6">
        <f t="shared" si="3"/>
        <v>100</v>
      </c>
      <c r="F60" s="7">
        <v>2626.5</v>
      </c>
      <c r="G60" s="7">
        <v>97.2777777777778</v>
      </c>
    </row>
    <row r="61" spans="1:7" x14ac:dyDescent="0.3">
      <c r="A61">
        <v>2019</v>
      </c>
      <c r="B61">
        <v>29</v>
      </c>
      <c r="C61">
        <v>28</v>
      </c>
      <c r="D61">
        <f t="shared" si="2"/>
        <v>1</v>
      </c>
      <c r="E61" s="6">
        <f t="shared" si="3"/>
        <v>96.551724137931032</v>
      </c>
      <c r="F61" s="7">
        <v>2705</v>
      </c>
      <c r="G61" s="7">
        <v>93.275862068965495</v>
      </c>
    </row>
    <row r="62" spans="1:7" x14ac:dyDescent="0.3">
      <c r="A62">
        <v>2020</v>
      </c>
      <c r="B62">
        <v>35</v>
      </c>
      <c r="C62">
        <v>35</v>
      </c>
      <c r="D62">
        <f t="shared" si="2"/>
        <v>0</v>
      </c>
      <c r="E62" s="6">
        <f t="shared" si="3"/>
        <v>100</v>
      </c>
      <c r="F62" s="7">
        <v>3230</v>
      </c>
      <c r="G62" s="7">
        <v>92.285714285714306</v>
      </c>
    </row>
    <row r="63" spans="1:7" x14ac:dyDescent="0.3">
      <c r="A63">
        <v>2021</v>
      </c>
      <c r="B63">
        <v>40</v>
      </c>
      <c r="C63">
        <v>40</v>
      </c>
      <c r="D63">
        <f t="shared" si="2"/>
        <v>0</v>
      </c>
      <c r="E63" s="6">
        <f t="shared" si="3"/>
        <v>100</v>
      </c>
      <c r="F63" s="7">
        <v>3662</v>
      </c>
      <c r="G63" s="7">
        <v>91.55</v>
      </c>
    </row>
    <row r="64" spans="1:7" x14ac:dyDescent="0.3">
      <c r="A64">
        <v>2022</v>
      </c>
      <c r="B64">
        <v>37</v>
      </c>
      <c r="C64">
        <v>37</v>
      </c>
      <c r="D64">
        <f t="shared" si="2"/>
        <v>0</v>
      </c>
      <c r="E64" s="6">
        <f t="shared" si="3"/>
        <v>100</v>
      </c>
      <c r="F64" s="7">
        <v>7256</v>
      </c>
      <c r="G64" s="7">
        <v>196.10810810810801</v>
      </c>
    </row>
    <row r="65" spans="1:7" x14ac:dyDescent="0.3">
      <c r="A65">
        <v>2023</v>
      </c>
      <c r="B65">
        <v>37</v>
      </c>
      <c r="C65">
        <v>37</v>
      </c>
      <c r="D65">
        <f t="shared" si="2"/>
        <v>0</v>
      </c>
      <c r="E65" s="6">
        <f t="shared" si="3"/>
        <v>100</v>
      </c>
      <c r="F65" s="7">
        <v>3201</v>
      </c>
      <c r="G65" s="7">
        <v>86.513513513513502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zoomScaleNormal="100" workbookViewId="0"/>
  </sheetViews>
  <sheetFormatPr baseColWidth="10" defaultColWidth="8.6640625" defaultRowHeight="14.4" x14ac:dyDescent="0.3"/>
  <sheetData>
    <row r="1" spans="1:7" ht="17.399999999999999" x14ac:dyDescent="0.3">
      <c r="A1" s="1" t="s">
        <v>961</v>
      </c>
    </row>
    <row r="3" spans="1:7" x14ac:dyDescent="0.3">
      <c r="A3" s="5" t="s">
        <v>962</v>
      </c>
      <c r="B3" s="5" t="s">
        <v>963</v>
      </c>
      <c r="C3" s="5" t="s">
        <v>964</v>
      </c>
      <c r="D3" s="5" t="s">
        <v>965</v>
      </c>
      <c r="E3" s="5" t="s">
        <v>956</v>
      </c>
      <c r="F3" s="5" t="s">
        <v>966</v>
      </c>
      <c r="G3" s="5" t="s">
        <v>959</v>
      </c>
    </row>
    <row r="4" spans="1:7" x14ac:dyDescent="0.3">
      <c r="A4" t="s">
        <v>235</v>
      </c>
      <c r="B4" t="s">
        <v>19</v>
      </c>
      <c r="C4" t="s">
        <v>18</v>
      </c>
      <c r="D4">
        <v>213</v>
      </c>
      <c r="E4">
        <v>213</v>
      </c>
      <c r="F4" s="6">
        <f t="shared" ref="F4:F15" si="0">IF(D4&gt;0,E4/D4*100,0)</f>
        <v>100</v>
      </c>
      <c r="G4" s="7">
        <v>10665</v>
      </c>
    </row>
    <row r="5" spans="1:7" x14ac:dyDescent="0.3">
      <c r="A5" t="s">
        <v>58</v>
      </c>
      <c r="B5" t="s">
        <v>59</v>
      </c>
      <c r="C5" t="s">
        <v>18</v>
      </c>
      <c r="D5">
        <v>169</v>
      </c>
      <c r="E5">
        <v>169</v>
      </c>
      <c r="F5" s="6">
        <f t="shared" si="0"/>
        <v>100</v>
      </c>
      <c r="G5" s="7">
        <v>15760</v>
      </c>
    </row>
    <row r="6" spans="1:7" x14ac:dyDescent="0.3">
      <c r="A6" t="s">
        <v>17</v>
      </c>
      <c r="B6" t="s">
        <v>19</v>
      </c>
      <c r="C6" t="s">
        <v>18</v>
      </c>
      <c r="D6">
        <v>118</v>
      </c>
      <c r="E6">
        <v>116</v>
      </c>
      <c r="F6" s="6">
        <f t="shared" si="0"/>
        <v>98.305084745762713</v>
      </c>
      <c r="G6" s="7">
        <v>5550</v>
      </c>
    </row>
    <row r="7" spans="1:7" x14ac:dyDescent="0.3">
      <c r="A7" t="s">
        <v>118</v>
      </c>
      <c r="B7" t="s">
        <v>120</v>
      </c>
      <c r="C7" t="s">
        <v>119</v>
      </c>
      <c r="D7">
        <v>107</v>
      </c>
      <c r="E7">
        <v>104</v>
      </c>
      <c r="F7" s="6">
        <f t="shared" si="0"/>
        <v>97.196261682242991</v>
      </c>
      <c r="G7" s="7">
        <v>18898</v>
      </c>
    </row>
    <row r="8" spans="1:7" x14ac:dyDescent="0.3">
      <c r="A8" t="s">
        <v>41</v>
      </c>
      <c r="B8" t="s">
        <v>27</v>
      </c>
      <c r="C8" t="s">
        <v>18</v>
      </c>
      <c r="D8">
        <v>90</v>
      </c>
      <c r="E8">
        <v>87</v>
      </c>
      <c r="F8" s="6">
        <f t="shared" si="0"/>
        <v>96.666666666666671</v>
      </c>
      <c r="G8" s="7">
        <v>20705</v>
      </c>
    </row>
    <row r="9" spans="1:7" x14ac:dyDescent="0.3">
      <c r="A9" t="s">
        <v>458</v>
      </c>
      <c r="B9" t="s">
        <v>27</v>
      </c>
      <c r="C9" t="s">
        <v>119</v>
      </c>
      <c r="D9">
        <v>79</v>
      </c>
      <c r="E9">
        <v>77</v>
      </c>
      <c r="F9" s="6">
        <f t="shared" si="0"/>
        <v>97.468354430379748</v>
      </c>
      <c r="G9" s="7">
        <v>4822.3999999999996</v>
      </c>
    </row>
    <row r="10" spans="1:7" x14ac:dyDescent="0.3">
      <c r="A10" t="s">
        <v>130</v>
      </c>
      <c r="B10" t="s">
        <v>131</v>
      </c>
      <c r="C10" t="s">
        <v>18</v>
      </c>
      <c r="D10">
        <v>67</v>
      </c>
      <c r="E10">
        <v>65</v>
      </c>
      <c r="F10" s="6">
        <f t="shared" si="0"/>
        <v>97.014925373134332</v>
      </c>
      <c r="G10" s="7">
        <v>1882</v>
      </c>
    </row>
    <row r="11" spans="1:7" x14ac:dyDescent="0.3">
      <c r="A11" t="s">
        <v>664</v>
      </c>
      <c r="B11" t="s">
        <v>27</v>
      </c>
      <c r="C11" t="s">
        <v>119</v>
      </c>
      <c r="D11">
        <v>2</v>
      </c>
      <c r="E11">
        <v>1</v>
      </c>
      <c r="F11" s="6">
        <f t="shared" si="0"/>
        <v>50</v>
      </c>
      <c r="G11" s="7">
        <v>0</v>
      </c>
    </row>
    <row r="12" spans="1:7" x14ac:dyDescent="0.3">
      <c r="A12" t="s">
        <v>722</v>
      </c>
      <c r="B12" t="s">
        <v>723</v>
      </c>
      <c r="C12" t="s">
        <v>119</v>
      </c>
      <c r="D12">
        <v>2</v>
      </c>
      <c r="E12">
        <v>1</v>
      </c>
      <c r="F12" s="6">
        <f t="shared" si="0"/>
        <v>50</v>
      </c>
      <c r="G12" s="7">
        <v>15</v>
      </c>
    </row>
    <row r="13" spans="1:7" x14ac:dyDescent="0.3">
      <c r="A13" t="s">
        <v>399</v>
      </c>
      <c r="B13" t="s">
        <v>400</v>
      </c>
      <c r="C13" t="s">
        <v>18</v>
      </c>
      <c r="D13">
        <v>2</v>
      </c>
      <c r="E13">
        <v>2</v>
      </c>
      <c r="F13" s="6">
        <f t="shared" si="0"/>
        <v>100</v>
      </c>
      <c r="G13" s="7">
        <v>165</v>
      </c>
    </row>
    <row r="14" spans="1:7" x14ac:dyDescent="0.3">
      <c r="A14" t="s">
        <v>26</v>
      </c>
      <c r="B14" t="s">
        <v>27</v>
      </c>
      <c r="C14" t="s">
        <v>18</v>
      </c>
      <c r="D14">
        <v>2</v>
      </c>
      <c r="E14">
        <v>1</v>
      </c>
      <c r="F14" s="6">
        <f t="shared" si="0"/>
        <v>50</v>
      </c>
      <c r="G14" s="7">
        <v>0</v>
      </c>
    </row>
    <row r="15" spans="1:7" x14ac:dyDescent="0.3">
      <c r="A15" t="s">
        <v>31</v>
      </c>
      <c r="B15" t="s">
        <v>27</v>
      </c>
      <c r="C15" t="s">
        <v>18</v>
      </c>
      <c r="D15">
        <v>1</v>
      </c>
      <c r="E15">
        <v>1</v>
      </c>
      <c r="F15" s="6">
        <f t="shared" si="0"/>
        <v>100</v>
      </c>
      <c r="G15" s="7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Normal="100" workbookViewId="0"/>
  </sheetViews>
  <sheetFormatPr baseColWidth="10" defaultColWidth="8.6640625" defaultRowHeight="14.4" x14ac:dyDescent="0.3"/>
  <sheetData>
    <row r="1" spans="1:2" ht="17.399999999999999" x14ac:dyDescent="0.3">
      <c r="A1" s="1" t="s">
        <v>967</v>
      </c>
    </row>
    <row r="3" spans="1:2" x14ac:dyDescent="0.3">
      <c r="A3" s="8" t="s">
        <v>955</v>
      </c>
      <c r="B3">
        <v>852</v>
      </c>
    </row>
    <row r="5" spans="1:2" x14ac:dyDescent="0.3">
      <c r="A5" s="8" t="s">
        <v>968</v>
      </c>
      <c r="B5" s="9">
        <v>98.239436619718305</v>
      </c>
    </row>
    <row r="7" spans="1:2" x14ac:dyDescent="0.3">
      <c r="A7" s="8" t="s">
        <v>969</v>
      </c>
      <c r="B7" s="7">
        <v>78462.399999999994</v>
      </c>
    </row>
    <row r="9" spans="1:2" x14ac:dyDescent="0.3">
      <c r="A9" s="8" t="s">
        <v>970</v>
      </c>
      <c r="B9" s="7">
        <v>92.092018779342695</v>
      </c>
    </row>
    <row r="11" spans="1:2" x14ac:dyDescent="0.3">
      <c r="A11" s="8" t="s">
        <v>971</v>
      </c>
      <c r="B11">
        <v>12</v>
      </c>
    </row>
    <row r="13" spans="1:2" x14ac:dyDescent="0.3">
      <c r="A13" s="8" t="s">
        <v>972</v>
      </c>
      <c r="B13">
        <v>7</v>
      </c>
    </row>
    <row r="15" spans="1:2" x14ac:dyDescent="0.3">
      <c r="A15" s="8" t="s">
        <v>973</v>
      </c>
      <c r="B15" t="s">
        <v>974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Données Brutes</vt:lpstr>
      <vt:lpstr>Analyse Temporelle</vt:lpstr>
      <vt:lpstr>Analyse par Agence</vt:lpstr>
      <vt:lpstr>Dashboard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Elyas TARZET</cp:lastModifiedBy>
  <cp:revision>0</cp:revision>
  <dcterms:created xsi:type="dcterms:W3CDTF">2026-02-08T10:14:27Z</dcterms:created>
  <dcterms:modified xsi:type="dcterms:W3CDTF">2026-02-09T10:18:32Z</dcterms:modified>
  <dc:language>en-US</dc:language>
</cp:coreProperties>
</file>